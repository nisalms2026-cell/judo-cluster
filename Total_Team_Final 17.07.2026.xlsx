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ftp1\Share\INTER OFFICE SHARE\1 JUDO CLUSTER\Team details  AIPSCB\"/>
    </mc:Choice>
  </mc:AlternateContent>
  <xr:revisionPtr revIDLastSave="0" documentId="8_{3C9D2E88-9273-46A1-B3C4-4BB65D4F84C9}" xr6:coauthVersionLast="47" xr6:coauthVersionMax="47" xr10:uidLastSave="{00000000-0000-0000-0000-000000000000}"/>
  <bookViews>
    <workbookView xWindow="-120" yWindow="-120" windowWidth="29040" windowHeight="15720" activeTab="3" xr2:uid="{00000000-000D-0000-FFFF-FFFF00000000}"/>
  </bookViews>
  <sheets>
    <sheet name="Final" sheetId="4" r:id="rId1"/>
    <sheet name="Mess Details" sheetId="12" r:id="rId2"/>
    <sheet name="TGPA Mess" sheetId="9" r:id="rId3"/>
    <sheet name="Travel Details" sheetId="14" r:id="rId4"/>
    <sheet name="Sheet5" sheetId="5" r:id="rId5"/>
    <sheet name="Sheet3" sheetId="11" r:id="rId6"/>
    <sheet name="Sheet1" sheetId="13" r:id="rId7"/>
  </sheets>
  <definedNames>
    <definedName name="_xlnm._FilterDatabase" localSheetId="5" hidden="1">Sheet3!$A$2:$C$23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 i="13" l="1"/>
  <c r="G17" i="13"/>
  <c r="G16" i="13"/>
  <c r="G15" i="13"/>
  <c r="G14" i="13"/>
  <c r="G13" i="13"/>
  <c r="G12" i="13"/>
  <c r="G11" i="13"/>
  <c r="G10" i="13"/>
  <c r="G9" i="13"/>
  <c r="G8" i="13"/>
  <c r="G7" i="13"/>
  <c r="G6" i="13"/>
  <c r="G5" i="13"/>
  <c r="G4" i="13"/>
  <c r="G3" i="13"/>
  <c r="L13" i="9"/>
  <c r="M13" i="9"/>
  <c r="N13" i="9"/>
  <c r="O13" i="9"/>
  <c r="K13" i="9"/>
  <c r="O11" i="9"/>
  <c r="G16" i="9"/>
  <c r="F18" i="9"/>
  <c r="G17" i="9"/>
  <c r="E18" i="9"/>
  <c r="D18" i="9"/>
  <c r="C18" i="9"/>
  <c r="G13" i="9"/>
  <c r="G14" i="9"/>
  <c r="F66" i="4"/>
  <c r="E66" i="4"/>
  <c r="G65" i="4"/>
  <c r="G64" i="4"/>
  <c r="G63" i="4"/>
  <c r="G62" i="4"/>
  <c r="G66" i="4" l="1"/>
  <c r="G12" i="9"/>
  <c r="G11" i="9"/>
  <c r="G4" i="9"/>
  <c r="G5" i="9"/>
  <c r="G6" i="9"/>
  <c r="G7" i="9"/>
  <c r="G8" i="9"/>
  <c r="G9" i="9"/>
  <c r="G10" i="9"/>
  <c r="G15" i="9"/>
  <c r="G3" i="9"/>
  <c r="W56" i="12"/>
  <c r="V56" i="12"/>
  <c r="U56" i="12"/>
  <c r="T56" i="12"/>
  <c r="S56" i="12"/>
  <c r="R56" i="12"/>
  <c r="Q56" i="12"/>
  <c r="P56" i="12"/>
  <c r="O56" i="12"/>
  <c r="N56" i="12"/>
  <c r="M56" i="12"/>
  <c r="L56" i="12"/>
  <c r="K56" i="12"/>
  <c r="J56" i="12"/>
  <c r="I56" i="12"/>
  <c r="H56" i="12"/>
  <c r="G56" i="12"/>
  <c r="F56" i="12"/>
  <c r="AC54" i="12" s="1"/>
  <c r="X55" i="12"/>
  <c r="X54" i="12"/>
  <c r="X53" i="12"/>
  <c r="W46" i="12"/>
  <c r="V46" i="12"/>
  <c r="U46" i="12"/>
  <c r="T46" i="12"/>
  <c r="S46" i="12"/>
  <c r="R46" i="12"/>
  <c r="Q46" i="12"/>
  <c r="P46" i="12"/>
  <c r="O46" i="12"/>
  <c r="N46" i="12"/>
  <c r="M46" i="12"/>
  <c r="L46" i="12"/>
  <c r="K46" i="12"/>
  <c r="J46" i="12"/>
  <c r="I46" i="12"/>
  <c r="H46" i="12"/>
  <c r="G46" i="12"/>
  <c r="F46" i="12"/>
  <c r="X45" i="12"/>
  <c r="X44" i="12"/>
  <c r="X43" i="12"/>
  <c r="X42" i="12"/>
  <c r="X41" i="12"/>
  <c r="X40" i="12"/>
  <c r="X39" i="12"/>
  <c r="X46" i="12" s="1"/>
  <c r="W29" i="12"/>
  <c r="V29" i="12"/>
  <c r="U29" i="12"/>
  <c r="T29" i="12"/>
  <c r="S29" i="12"/>
  <c r="R29" i="12"/>
  <c r="Q29" i="12"/>
  <c r="P29" i="12"/>
  <c r="O29" i="12"/>
  <c r="N29" i="12"/>
  <c r="M29" i="12"/>
  <c r="L29" i="12"/>
  <c r="K29" i="12"/>
  <c r="J29" i="12"/>
  <c r="I29" i="12"/>
  <c r="H29" i="12"/>
  <c r="G29" i="12"/>
  <c r="F29" i="12"/>
  <c r="X28" i="12"/>
  <c r="X27" i="12"/>
  <c r="X26" i="12"/>
  <c r="X25" i="12"/>
  <c r="X34" i="12"/>
  <c r="X24" i="12"/>
  <c r="X23" i="12"/>
  <c r="X22" i="12"/>
  <c r="X21" i="12"/>
  <c r="X20" i="12"/>
  <c r="X19" i="12"/>
  <c r="X18" i="12"/>
  <c r="X17" i="12"/>
  <c r="X16" i="12"/>
  <c r="X15" i="12"/>
  <c r="X14" i="12"/>
  <c r="X13" i="12"/>
  <c r="X12" i="12"/>
  <c r="X11" i="12"/>
  <c r="X10" i="12"/>
  <c r="X9" i="12"/>
  <c r="X8" i="12"/>
  <c r="X7" i="12"/>
  <c r="X6" i="12"/>
  <c r="X5" i="12"/>
  <c r="X4" i="12"/>
  <c r="V29" i="4"/>
  <c r="U29" i="4"/>
  <c r="T29" i="4"/>
  <c r="S29" i="4"/>
  <c r="R29" i="4"/>
  <c r="Q29" i="4"/>
  <c r="Q55" i="4" s="1"/>
  <c r="P29" i="4"/>
  <c r="O29" i="4"/>
  <c r="N29" i="4"/>
  <c r="M29" i="4"/>
  <c r="L29" i="4"/>
  <c r="K29" i="4"/>
  <c r="J29" i="4"/>
  <c r="I29" i="4"/>
  <c r="H29" i="4"/>
  <c r="G29" i="4"/>
  <c r="F29" i="4"/>
  <c r="X28" i="4"/>
  <c r="W54" i="4"/>
  <c r="V54" i="4"/>
  <c r="U54" i="4"/>
  <c r="T54" i="4"/>
  <c r="S54" i="4"/>
  <c r="R54" i="4"/>
  <c r="Q54" i="4"/>
  <c r="P54" i="4"/>
  <c r="O54" i="4"/>
  <c r="N54" i="4"/>
  <c r="M54" i="4"/>
  <c r="L54" i="4"/>
  <c r="K54" i="4"/>
  <c r="J54" i="4"/>
  <c r="I54" i="4"/>
  <c r="H54" i="4"/>
  <c r="G54" i="4"/>
  <c r="F54" i="4"/>
  <c r="AB52" i="4" s="1"/>
  <c r="X53" i="4"/>
  <c r="X52" i="4"/>
  <c r="X51" i="4"/>
  <c r="W44" i="4"/>
  <c r="V44" i="4"/>
  <c r="U44" i="4"/>
  <c r="T44" i="4"/>
  <c r="S44" i="4"/>
  <c r="R44" i="4"/>
  <c r="Q44" i="4"/>
  <c r="P44" i="4"/>
  <c r="O44" i="4"/>
  <c r="N44" i="4"/>
  <c r="M44" i="4"/>
  <c r="L44" i="4"/>
  <c r="K44" i="4"/>
  <c r="J44" i="4"/>
  <c r="I44" i="4"/>
  <c r="H44" i="4"/>
  <c r="G44" i="4"/>
  <c r="F44" i="4"/>
  <c r="X43" i="4"/>
  <c r="X42" i="4"/>
  <c r="X41" i="4"/>
  <c r="X40" i="4"/>
  <c r="X39" i="4"/>
  <c r="X38" i="4"/>
  <c r="X37" i="4"/>
  <c r="W29" i="4"/>
  <c r="X27" i="4"/>
  <c r="X26" i="4"/>
  <c r="X25" i="4"/>
  <c r="X33" i="4"/>
  <c r="X24" i="4"/>
  <c r="X23" i="4"/>
  <c r="X22" i="4"/>
  <c r="X21" i="4"/>
  <c r="X20" i="4"/>
  <c r="X19" i="4"/>
  <c r="X18" i="4"/>
  <c r="X17" i="4"/>
  <c r="X16" i="4"/>
  <c r="X15" i="4"/>
  <c r="X14" i="4"/>
  <c r="X13" i="4"/>
  <c r="X12" i="4"/>
  <c r="X11" i="4"/>
  <c r="X10" i="4"/>
  <c r="X9" i="4"/>
  <c r="X8" i="4"/>
  <c r="X7" i="4"/>
  <c r="X6" i="4"/>
  <c r="X5" i="4"/>
  <c r="X4" i="4"/>
  <c r="G55" i="4" l="1"/>
  <c r="S55" i="4"/>
  <c r="F55" i="4"/>
  <c r="I55" i="4"/>
  <c r="U55" i="4"/>
  <c r="O55" i="4"/>
  <c r="J55" i="4"/>
  <c r="V55" i="4"/>
  <c r="K55" i="4"/>
  <c r="P55" i="4"/>
  <c r="N55" i="4"/>
  <c r="AF52" i="4"/>
  <c r="AF53" i="4"/>
  <c r="O57" i="12"/>
  <c r="H57" i="12"/>
  <c r="I57" i="12"/>
  <c r="AC55" i="12"/>
  <c r="X29" i="4"/>
  <c r="U57" i="12"/>
  <c r="AB53" i="4"/>
  <c r="W55" i="4"/>
  <c r="L55" i="4"/>
  <c r="M57" i="12"/>
  <c r="X56" i="12"/>
  <c r="N57" i="12"/>
  <c r="AG56" i="12"/>
  <c r="AB7" i="4"/>
  <c r="V57" i="12"/>
  <c r="AB54" i="4"/>
  <c r="L57" i="12"/>
  <c r="X44" i="4"/>
  <c r="X54" i="4"/>
  <c r="P57" i="12"/>
  <c r="AF54" i="4"/>
  <c r="Q57" i="12"/>
  <c r="T55" i="4"/>
  <c r="J57" i="12"/>
  <c r="AG54" i="12"/>
  <c r="F57" i="12"/>
  <c r="R57" i="12"/>
  <c r="H55" i="4"/>
  <c r="R55" i="4"/>
  <c r="G57" i="12"/>
  <c r="S57" i="12"/>
  <c r="G18" i="9"/>
  <c r="X29" i="12"/>
  <c r="AC7" i="12"/>
  <c r="T57" i="12"/>
  <c r="AG55" i="12"/>
  <c r="AC56" i="12"/>
  <c r="K57" i="12"/>
  <c r="W57" i="12"/>
  <c r="AG6" i="12"/>
  <c r="M55" i="4"/>
  <c r="AF6" i="4"/>
  <c r="X55" i="4" l="1"/>
  <c r="X57" i="12"/>
</calcChain>
</file>

<file path=xl/sharedStrings.xml><?xml version="1.0" encoding="utf-8"?>
<sst xmlns="http://schemas.openxmlformats.org/spreadsheetml/2006/main" count="788" uniqueCount="320">
  <si>
    <t>Sl. No.</t>
  </si>
  <si>
    <t>Organisation</t>
  </si>
  <si>
    <t>TEAM MANAGER</t>
  </si>
  <si>
    <t>COUNT Gos</t>
  </si>
  <si>
    <t>COUNT Sos</t>
  </si>
  <si>
    <t>SUPPORT/ADM STAFF</t>
  </si>
  <si>
    <t>Coach  MALE</t>
  </si>
  <si>
    <t>Coach FEMALE</t>
  </si>
  <si>
    <t>Dr.</t>
  </si>
  <si>
    <t xml:space="preserve">Strength Male </t>
  </si>
  <si>
    <t xml:space="preserve">Strength Female </t>
  </si>
  <si>
    <t>Total strength</t>
  </si>
  <si>
    <t>Name</t>
  </si>
  <si>
    <t xml:space="preserve">Rank </t>
  </si>
  <si>
    <t>No</t>
  </si>
  <si>
    <t>Male</t>
  </si>
  <si>
    <t>Female</t>
  </si>
  <si>
    <t>Sos</t>
  </si>
  <si>
    <t>ORS</t>
  </si>
  <si>
    <t>Gos</t>
  </si>
  <si>
    <t>GOs</t>
  </si>
  <si>
    <t>SOs</t>
  </si>
  <si>
    <t>ORs</t>
  </si>
  <si>
    <t>ANDHRA POLICE</t>
  </si>
  <si>
    <t>K Victor</t>
  </si>
  <si>
    <t>Inspector</t>
  </si>
  <si>
    <t>9866930369</t>
  </si>
  <si>
    <t>ARUNACHAL PRADESH</t>
  </si>
  <si>
    <t>ROTOM ECHU</t>
  </si>
  <si>
    <t>8798672953</t>
  </si>
  <si>
    <t xml:space="preserve">Summary:-  21 teams </t>
  </si>
  <si>
    <t>ASSAM POLICE</t>
  </si>
  <si>
    <t>Alpana Boro</t>
  </si>
  <si>
    <t>9707015867</t>
  </si>
  <si>
    <t>ASSAM RIFLES</t>
  </si>
  <si>
    <t>Prabin Rai</t>
  </si>
  <si>
    <t>Warrant Officer</t>
  </si>
  <si>
    <t>8837408679</t>
  </si>
  <si>
    <t>BIHAR POLICE</t>
  </si>
  <si>
    <t>RAJU KUMAR</t>
  </si>
  <si>
    <t>9472972929</t>
  </si>
  <si>
    <t>Ors</t>
  </si>
  <si>
    <t>CHANDIGARH POLICE</t>
  </si>
  <si>
    <t>Bhim Singh</t>
  </si>
  <si>
    <t>ASI</t>
  </si>
  <si>
    <t>9463881916</t>
  </si>
  <si>
    <t>Dr</t>
  </si>
  <si>
    <t>DELHI POLICE</t>
  </si>
  <si>
    <t>Ajit Kumar</t>
  </si>
  <si>
    <t>9910190643</t>
  </si>
  <si>
    <t>GUJARAT POLICE</t>
  </si>
  <si>
    <t>MANOJ A RAVAL</t>
  </si>
  <si>
    <t>P.I</t>
  </si>
  <si>
    <t>9924527265</t>
  </si>
  <si>
    <t>HIMACHAL PRADESH POLICE</t>
  </si>
  <si>
    <t>Kamal Kishore</t>
  </si>
  <si>
    <t>Dy.SP</t>
  </si>
  <si>
    <t>9418484672</t>
  </si>
  <si>
    <t>J&amp;K POLICE</t>
  </si>
  <si>
    <t>Anjana</t>
  </si>
  <si>
    <t>9622089944</t>
  </si>
  <si>
    <t>KARNATAKA POLICE</t>
  </si>
  <si>
    <t>HAMJA HUSSAIN</t>
  </si>
  <si>
    <t>Commandant</t>
  </si>
  <si>
    <t>9480800843</t>
  </si>
  <si>
    <t>MAHARASHTRA POLICE</t>
  </si>
  <si>
    <t>SANTOSH KAMBLE</t>
  </si>
  <si>
    <t>ASO</t>
  </si>
  <si>
    <t>09325154416</t>
  </si>
  <si>
    <t>MIZORAM POLICE</t>
  </si>
  <si>
    <t>F lalhmingliana</t>
  </si>
  <si>
    <t>Dy. Commandant</t>
  </si>
  <si>
    <t>9436142704</t>
  </si>
  <si>
    <t>PUNJAB POLICE</t>
  </si>
  <si>
    <t>Rajwinder kaur</t>
  </si>
  <si>
    <t>8146577701</t>
  </si>
  <si>
    <t>RAJASTHAN POLICE</t>
  </si>
  <si>
    <t>Sh. Bahadur Singh</t>
  </si>
  <si>
    <t xml:space="preserve">Inspector </t>
  </si>
  <si>
    <t>9983199959</t>
  </si>
  <si>
    <t>UTTARAKHAND POLICE</t>
  </si>
  <si>
    <t>Shri Yogendra Singh Dev</t>
  </si>
  <si>
    <t>7017974765</t>
  </si>
  <si>
    <t>SIKKIM POLICE</t>
  </si>
  <si>
    <t>TENZING SHERPA</t>
  </si>
  <si>
    <t>7001016419</t>
  </si>
  <si>
    <t>CHATTISGARH</t>
  </si>
  <si>
    <t>Amber Singh Bhardwaj</t>
  </si>
  <si>
    <t>8770840045</t>
  </si>
  <si>
    <t>UTTARPRADESH</t>
  </si>
  <si>
    <t>Assistant Commandant</t>
  </si>
  <si>
    <t>HARYANA</t>
  </si>
  <si>
    <t>Sunil Kumar</t>
  </si>
  <si>
    <t>ITBP</t>
  </si>
  <si>
    <t>VIRENDRA SINGH</t>
  </si>
  <si>
    <t>DC(GD)</t>
  </si>
  <si>
    <t>9891618409</t>
  </si>
  <si>
    <t>BSF</t>
  </si>
  <si>
    <t>Virpal Singh Kushwah</t>
  </si>
  <si>
    <t>Deputy Commandant</t>
  </si>
  <si>
    <t>9439456054</t>
  </si>
  <si>
    <t>TAMILNADU</t>
  </si>
  <si>
    <t>TOTAL</t>
  </si>
  <si>
    <t>CRPF</t>
  </si>
  <si>
    <t>THOIBINAO CHANU</t>
  </si>
  <si>
    <t>9625626883</t>
  </si>
  <si>
    <t>SSB</t>
  </si>
  <si>
    <t>Durgesh Sharma</t>
  </si>
  <si>
    <t>9017409009</t>
  </si>
  <si>
    <t xml:space="preserve">Summary:-  7 teams </t>
  </si>
  <si>
    <t>WEST BENGAL POLICE</t>
  </si>
  <si>
    <t>Goutam Chakraborty</t>
  </si>
  <si>
    <t>Inspector of Police</t>
  </si>
  <si>
    <t>9433803233</t>
  </si>
  <si>
    <t xml:space="preserve">ORISSA POLICE </t>
  </si>
  <si>
    <t>BIJAY KUMAR MUDULI</t>
  </si>
  <si>
    <t>Inspector (A)</t>
  </si>
  <si>
    <t>9776501157</t>
  </si>
  <si>
    <t>MADHYA PRADESH POLICE</t>
  </si>
  <si>
    <t>GOPIKRISHNA SHRIDHARAN</t>
  </si>
  <si>
    <t>9425149743</t>
  </si>
  <si>
    <t>MANIPUR POLICE</t>
  </si>
  <si>
    <t>R.K. Dhanajit Singh</t>
  </si>
  <si>
    <t>Jemadar</t>
  </si>
  <si>
    <t>8974102910</t>
  </si>
  <si>
    <t>KERALA POLICE</t>
  </si>
  <si>
    <t>SURESH.K</t>
  </si>
  <si>
    <t>9961553695</t>
  </si>
  <si>
    <t>CISF</t>
  </si>
  <si>
    <t>Vimal Singh Khatri</t>
  </si>
  <si>
    <t>Asstt. Commandant</t>
  </si>
  <si>
    <t>9873932998</t>
  </si>
  <si>
    <t xml:space="preserve">Summary:-  6 teams </t>
  </si>
  <si>
    <t>TELANGANA POLICE</t>
  </si>
  <si>
    <t>KATTA DAYANAND</t>
  </si>
  <si>
    <t>9440474691</t>
  </si>
  <si>
    <t>RPF</t>
  </si>
  <si>
    <t>SANJIT SARKAR</t>
  </si>
  <si>
    <t>ASC/RPF/DMV</t>
  </si>
  <si>
    <t>9862153714</t>
  </si>
  <si>
    <t>GRAND TOTAL</t>
  </si>
  <si>
    <t>1. TGPA</t>
  </si>
  <si>
    <t>2. Sport Tower, Indoor Stadium Gachibowli</t>
  </si>
  <si>
    <t>3. At Own Location</t>
  </si>
  <si>
    <t>GOA</t>
  </si>
  <si>
    <t>Vaibhav Jalmi</t>
  </si>
  <si>
    <t>Sub-Inspector</t>
  </si>
  <si>
    <t>NSG</t>
  </si>
  <si>
    <t>KULDEEP</t>
  </si>
  <si>
    <t>Constable</t>
  </si>
  <si>
    <t>JHARKHAND</t>
  </si>
  <si>
    <t>Rajat Manik Baxla</t>
  </si>
  <si>
    <t>TGPA</t>
  </si>
  <si>
    <t>Delhi Police</t>
  </si>
  <si>
    <t>DSP</t>
  </si>
  <si>
    <t>Assam Rifles</t>
  </si>
  <si>
    <t>Jammu &amp; kashmir</t>
  </si>
  <si>
    <t>Himachal Pradesh Police</t>
  </si>
  <si>
    <t>Andhra Pradesh Police</t>
  </si>
  <si>
    <t>Chandigarh police</t>
  </si>
  <si>
    <t>Arunachal Pradesh Police</t>
  </si>
  <si>
    <t>Haryana</t>
  </si>
  <si>
    <t>Gujrat</t>
  </si>
  <si>
    <t>IOM</t>
  </si>
  <si>
    <t>SOTC</t>
  </si>
  <si>
    <t>JOM-1 (Male)</t>
  </si>
  <si>
    <t>JOM-2 (Female)</t>
  </si>
  <si>
    <t>Total</t>
  </si>
  <si>
    <t>Strength Staying at TGPA and Dining at TGPA</t>
  </si>
  <si>
    <t>A. HASEN BATCHA</t>
  </si>
  <si>
    <t>99654 45421</t>
  </si>
  <si>
    <t>Sl No</t>
  </si>
  <si>
    <t>Strength Staying at TGPA and own mess arrengement</t>
  </si>
  <si>
    <t>West Bengal Police</t>
  </si>
  <si>
    <t>Mizoram Police</t>
  </si>
  <si>
    <t>Odisha</t>
  </si>
  <si>
    <t>Madhya Pradesh</t>
  </si>
  <si>
    <t>Arunachal Pradesh</t>
  </si>
  <si>
    <t>Manipur Police</t>
  </si>
  <si>
    <t>Maharashtra Police</t>
  </si>
  <si>
    <t>Assam Police</t>
  </si>
  <si>
    <t>Mess</t>
  </si>
  <si>
    <t>OWN</t>
  </si>
  <si>
    <t>Own Arrengement</t>
  </si>
  <si>
    <t>NIHTM</t>
  </si>
  <si>
    <t>BIHAR</t>
  </si>
  <si>
    <t>Sikkim</t>
  </si>
  <si>
    <t>Punjab</t>
  </si>
  <si>
    <t>Total summary as on 16.07.2026</t>
  </si>
  <si>
    <t>Jharkhand</t>
  </si>
  <si>
    <t>2. NITHM</t>
  </si>
  <si>
    <t>BSF stay at NITHM willing to Dine at TGPA</t>
  </si>
  <si>
    <t>Virbhadur Thapa</t>
  </si>
  <si>
    <t>Team Manager</t>
  </si>
  <si>
    <t>GO</t>
  </si>
  <si>
    <t>SO</t>
  </si>
  <si>
    <t>OR</t>
  </si>
  <si>
    <t xml:space="preserve">Nishank Sharma </t>
  </si>
  <si>
    <t>ACP</t>
  </si>
  <si>
    <t>TEAM ARRIVAL DETAILS</t>
  </si>
  <si>
    <t>Sl No.</t>
  </si>
  <si>
    <t>Station Name</t>
  </si>
  <si>
    <t>No. of Team</t>
  </si>
  <si>
    <t>Team Name</t>
  </si>
  <si>
    <t>Name of Team Manager</t>
  </si>
  <si>
    <t>Contact No.</t>
  </si>
  <si>
    <t>Arrival Date and Time</t>
  </si>
  <si>
    <t>Train Details</t>
  </si>
  <si>
    <t>Secunderabad Jn</t>
  </si>
  <si>
    <t>W/O Prabin Rai</t>
  </si>
  <si>
    <t>21.07.2026/1900 hrs
21.07.2026/1715 hrs</t>
  </si>
  <si>
    <t>1) Train No 12214 Arr Date 21 June Time 19:00 HRs At secundrabad Jn
2)Train No. 22692 Are Date 21 June Time 17:15 HRs at Secundrabad Jn</t>
  </si>
  <si>
    <t>Himachal Pradesh Police 
(Half Team)</t>
  </si>
  <si>
    <t>Kamal Kishore HPS</t>
  </si>
  <si>
    <t xml:space="preserve">21.07.2026/1715 hrs
</t>
  </si>
  <si>
    <t xml:space="preserve">Train No. 22692 Date-20.07.2026 Time 1660, Railway Station- Secunderabaad (Date-21.07.2026 Time-17:15), 01 Adult
</t>
  </si>
  <si>
    <t>Border Security Force</t>
  </si>
  <si>
    <t>Virpal Singh Kushwah,Dc</t>
  </si>
  <si>
    <t>21.07.2026/1412 hrs
22.07.2026/1555 hrs</t>
  </si>
  <si>
    <t>(1.) T/No.12286 Duranto Exp ,Date of arrival 21/7/16,Time of arrival -1412 hrs at Sikandarabad R/Station . Total players-94
(2.)T/No.12724 Telangana Exp, Date of arrival 22/7/26,Time of arrival 1555 hrs at Sikandarabad r/station. Total players- 12(Men-5, women-7)</t>
  </si>
  <si>
    <t>Bijay Kumar Muduli</t>
  </si>
  <si>
    <t>21.07.2026/0745 hrs</t>
  </si>
  <si>
    <t>BBSR - Secunderabad 
DOJ. 20.07.2026 at 08.40 AM
Visakha Express 
Train No. 17015
Arrival at Secunderabad on 21.07.2026 at 07.45 AM</t>
  </si>
  <si>
    <t>ITBP WUSHU TEAM</t>
  </si>
  <si>
    <t>Ajith Augustine Benny</t>
  </si>
  <si>
    <t>20.07.2026/1340 hrs</t>
  </si>
  <si>
    <t>TRAIN NO 12438, HZ. NIZAMUDIN TO SECUNDERABAD JN. 
DATE OF ARRIVAL AT SECUNDERABAD JN. - 20-07-26, TIME- 13:40 COACH 02 PLAYERS 27, PHYSIO 01</t>
  </si>
  <si>
    <t>20.07.2026/2210 hrs</t>
  </si>
  <si>
    <t>Duronto12214 date- 20-07-2026 time- 2210 Delhi to secendrabaad 19 players</t>
  </si>
  <si>
    <t>DC Sh.Virender Singh</t>
  </si>
  <si>
    <t>21.07.2026/1435 hrs</t>
  </si>
  <si>
    <t>Train no. 12286 Duronto Express ,Date of arrival 21-07-26 Time 14:35 at Secunderabad JN</t>
  </si>
  <si>
    <t>21.07.2026/0350 hrs
21.07.2026/1030 hrs
22.07.2026/1715 hrs</t>
  </si>
  <si>
    <t>12722, Date- 21/07, Time- 0350 , Station- Secunderabad, Personnel- 16
12703, Date- 21/07, Time- 1030, Station- Secunderabad, Personnel- 20
22692, Date- 22/07, Time- 1715 , Station- Secunderabad, Personnel- 66</t>
  </si>
  <si>
    <t>Haryana Police</t>
  </si>
  <si>
    <t>ASI Sunil, 5/101</t>
  </si>
  <si>
    <t>21.07.2026/1555 hrs</t>
  </si>
  <si>
    <t>Telangana Express Arrival on 21.07.2026 at 15:55 at Secunderabad Junction</t>
  </si>
  <si>
    <t>Vinod I V</t>
  </si>
  <si>
    <t>07194, 21.07.2026, 15.55 Hrs, Secandrabad</t>
  </si>
  <si>
    <t>Karnataka State Police</t>
  </si>
  <si>
    <t>Hamja Hussain</t>
  </si>
  <si>
    <t>22.07.2026/0700 hrs</t>
  </si>
  <si>
    <t>Train 22691, Rajdhani Exp, 22.07.2026 at 07.00 hrs.Secundrabad. 23 persons.</t>
  </si>
  <si>
    <t>Chhattisgarh</t>
  </si>
  <si>
    <t>Inspector Shri Amber Singh Bhardwaj</t>
  </si>
  <si>
    <t>22.07.2026/0830 hrs</t>
  </si>
  <si>
    <t>Train no. 12772 R SC SF Express, arrival timing - 0830 am Dt. 22.07.2026 Secunderabad</t>
  </si>
  <si>
    <t>Uttarakhand</t>
  </si>
  <si>
    <t>22.07.2026/0250 hrs</t>
  </si>
  <si>
    <t>Arrival 22-07-2026, 12722/DAKSHIN EXP 02.50 Secunderabad JN (SC)</t>
  </si>
  <si>
    <t>GUJRAT</t>
  </si>
  <si>
    <t>M A RAVAL</t>
  </si>
  <si>
    <t>22.07.2026/0730 hrs</t>
  </si>
  <si>
    <t>PBR SC SF EXP TRAIN NO 20968 22.07.2026 AT 0730, SECUNDERABAD STATION</t>
  </si>
  <si>
    <t>Bihar</t>
  </si>
  <si>
    <t>Raju Kumar</t>
  </si>
  <si>
    <t>20.07.2026/2100 hrs</t>
  </si>
  <si>
    <t>Train No.12792, Boarding date 19.07.2026, PNR 660-6679990 (Danapur to secunderabad) 16 member</t>
  </si>
  <si>
    <t>21.07.2026/0250 hrs</t>
  </si>
  <si>
    <t>12722/DAKSHIN EXP SECUNDERABAD JN (SC) Arrival* 02:50 21-Jul-2026</t>
  </si>
  <si>
    <t>21.07.2026/1555hrs</t>
  </si>
  <si>
    <t>12724 Telangana Exp</t>
  </si>
  <si>
    <t>21.07.26/ 1600 hrs
22.07.2026/ 0300 hrs</t>
  </si>
  <si>
    <t xml:space="preserve">Train no. 12724  secunderabad 
 Train no.12722  secunderabad </t>
  </si>
  <si>
    <t>2A</t>
  </si>
  <si>
    <t>Hyderabad Rly. Station</t>
  </si>
  <si>
    <t>Himachal Pradesh Police
(Half Team)</t>
  </si>
  <si>
    <t>Train No. 12722, Date-19-07-2026, Time 1670 from Nizamudin, Railway Station-Hyderabad (Date-21-07-2026, Time 3:50), 11 adults</t>
  </si>
  <si>
    <t>Santosh Kamble, Assistant Sports Officer</t>
  </si>
  <si>
    <t>21.07.2026/0430hrs</t>
  </si>
  <si>
    <t>Date 20-7-26 at 14:10 Train no 22732 CSMT to Hyderabad 04:30 Am 21-7-26</t>
  </si>
  <si>
    <t>Rajasthan</t>
  </si>
  <si>
    <t>Bahadur Singh Meena</t>
  </si>
  <si>
    <t>21.07.2026/0500 hrs</t>
  </si>
  <si>
    <t>Date 19/07/26 departure jaipur 15:30 pm
Arival 21/07/26 05:00 am hydrabad 31 member</t>
  </si>
  <si>
    <t>TAMIL NADU</t>
  </si>
  <si>
    <t>22.07.2026/0810 hrs</t>
  </si>
  <si>
    <t>By CHARMINAR SF EXP (Train No. 12759) on 22.07.2026 @ 08:10 Hrs., at Hyderabad Deccan Railway Station</t>
  </si>
  <si>
    <t>Charlapalli Rly. Stn.</t>
  </si>
  <si>
    <t>Shri Goutam Chakraborty, Inspector of Police</t>
  </si>
  <si>
    <t>20.07.2026/1730 hrs</t>
  </si>
  <si>
    <t>Arrive on 20/07/2026 at 17:30 hrs. at Charlapalli Railway Station by SRC CHZ SPL (07222) Train</t>
  </si>
  <si>
    <t>Sanjit Sarkar</t>
  </si>
  <si>
    <t>19.07.2026/2045 hrs</t>
  </si>
  <si>
    <t>TAIN NO- 07029 FROM GHY TO CSZ</t>
  </si>
  <si>
    <t>18.07.2026/1720 hrs</t>
  </si>
  <si>
    <t>Arrival on July 18,2026. Time: 17:20 ( evening) Train no.&amp; Name- 18045 East Coast exp. Station - Charlapalli.</t>
  </si>
  <si>
    <t>Kacheguda Station</t>
  </si>
  <si>
    <t>21.07.2026/1545 hrs</t>
  </si>
  <si>
    <t>TRAIN NO.17606, BGKT KCG EXPRESS, Arrival Date 21. Jul. 2026 KACHEGUDA STATION</t>
  </si>
  <si>
    <t>Travel plan awaited</t>
  </si>
  <si>
    <t>Rotom Echu</t>
  </si>
  <si>
    <t>Bhim singh</t>
  </si>
  <si>
    <t>Telangana Police</t>
  </si>
  <si>
    <t>ARRIVAL BY FLIGHT</t>
  </si>
  <si>
    <t>Fanai Lalhmingliana MPS</t>
  </si>
  <si>
    <t>RK Dhanajit Singh</t>
  </si>
  <si>
    <t>Indigo flight no. 6E187 date 21, Time 23.30 Rajiv Gandhi International airport</t>
  </si>
  <si>
    <t>6 (A)</t>
  </si>
  <si>
    <t>Air India 2899, Travel date- 21/07, Expected Time of Arrival- 1445 hrs, Hyderabad Airport, One Officer,</t>
  </si>
  <si>
    <t>21 (A)</t>
  </si>
  <si>
    <t>Arrival on July 20,2026. Time: 23:00 ( night)at Shamshabad Rajiv Gandhi, T- NA</t>
  </si>
  <si>
    <t>15 (A)</t>
  </si>
  <si>
    <t>J&amp;K (1)</t>
  </si>
  <si>
    <t>Arrival on July 21,2026. Indigo 6E 2491 DXN-HYD Time: 17:00hrs at Shamshabad Rajiv Gandhi, T- NA</t>
  </si>
  <si>
    <t>16 (A)</t>
  </si>
  <si>
    <t>6E 2491 (A320) 22/07/26 Rajiv gandhi international airport hydrabad one person</t>
  </si>
  <si>
    <t>ASI Tenzing Sherpa</t>
  </si>
  <si>
    <t>Air India Express lx_2893 date 21 July 26</t>
  </si>
  <si>
    <t xml:space="preserve">Mizoram Police  </t>
  </si>
  <si>
    <t xml:space="preserve"> 1 person (Manager) only                                             Flight - Akasa Air No. QP -1406 Dt. 21.07.2026
Departure Delhi 1410 hrs
Arrival Hyderabad - 1630 hrs
Others 1 Coach + 5 Players Dt. 21.07.2026 Indigo Flight No. 6E6528 Departure Kolkata 1700 hrs
Arrival Hyderabad 1910 hrs</t>
  </si>
  <si>
    <t>H. Thoibinao chanu</t>
  </si>
  <si>
    <t>07019/Hyderabad decan Arrival 5am 21 July 26 .</t>
  </si>
  <si>
    <t>Sikkim (02)</t>
  </si>
  <si>
    <t xml:space="preserve">Teams of Judo, Krate, Wushu and Penchek Silate by tr Duranato exp dep from Delhi 1555 hrs on 20July arr at 1435 hrs on 21July, Taekwando team by tr Dakshin exp at 2250 hrs </t>
  </si>
  <si>
    <t>21.07.2026/1435 hrs 
21.07.2026/2250 hrs</t>
  </si>
  <si>
    <t xml:space="preserve">Team coaches of judo,taekwando by air 20July 26 dep from Delhi 1410  hrs arr Hyd 1630 hrs ,Manager CISF by air 20July 26 dep from Delhi 1615 hrs arr Hyd 1830 hrs </t>
  </si>
  <si>
    <t>18 (A)</t>
  </si>
  <si>
    <t>By Bus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</si>
</sst>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18"/>
      <name val="Calibri"/>
      <family val="2"/>
    </font>
    <font>
      <b/>
      <sz val="18"/>
      <color theme="1"/>
      <name val="Calibri"/>
      <family val="2"/>
    </font>
    <font>
      <sz val="18"/>
      <color theme="1"/>
      <name val="Calibri"/>
      <family val="2"/>
    </font>
    <font>
      <sz val="18"/>
      <name val="Calibri"/>
      <family val="2"/>
    </font>
    <font>
      <sz val="16"/>
      <color theme="1"/>
      <name val="Calibri"/>
      <family val="2"/>
    </font>
    <font>
      <sz val="16"/>
      <name val="Calibri"/>
      <family val="2"/>
    </font>
    <font>
      <sz val="20"/>
      <name val="Calibri"/>
      <family val="2"/>
    </font>
    <font>
      <b/>
      <sz val="14"/>
      <name val="Calibri"/>
      <family val="2"/>
    </font>
    <font>
      <sz val="11"/>
      <name val="Calibri"/>
      <family val="2"/>
    </font>
    <font>
      <sz val="18"/>
      <color theme="1"/>
      <name val="Calibri"/>
      <family val="2"/>
      <scheme val="minor"/>
    </font>
    <font>
      <b/>
      <sz val="16"/>
      <color theme="1"/>
      <name val="Calibri"/>
      <family val="2"/>
    </font>
    <font>
      <b/>
      <sz val="18"/>
      <color rgb="FFFF0000"/>
      <name val="Calibri"/>
      <family val="2"/>
    </font>
    <font>
      <sz val="22"/>
      <color theme="1"/>
      <name val="Calibri"/>
      <family val="2"/>
      <scheme val="minor"/>
    </font>
    <font>
      <b/>
      <sz val="18"/>
      <color rgb="FFFF0000"/>
      <name val="Calibri"/>
      <family val="2"/>
      <scheme val="minor"/>
    </font>
    <font>
      <b/>
      <sz val="20"/>
      <color theme="1"/>
      <name val="Calibri"/>
      <family val="2"/>
    </font>
    <font>
      <b/>
      <sz val="22"/>
      <color theme="1"/>
      <name val="Calibri"/>
      <family val="2"/>
    </font>
    <font>
      <sz val="26"/>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b/>
      <sz val="14"/>
      <color theme="1"/>
      <name val="Calibri"/>
      <family val="2"/>
      <scheme val="minor"/>
    </font>
    <font>
      <sz val="11"/>
      <color rgb="FF9C5700"/>
      <name val="Calibri"/>
      <family val="2"/>
      <scheme val="minor"/>
    </font>
    <font>
      <sz val="11"/>
      <color rgb="FF3F3F76"/>
      <name val="Calibri"/>
      <family val="2"/>
      <scheme val="minor"/>
    </font>
    <font>
      <sz val="10"/>
      <color rgb="FF434343"/>
      <name val="Roboto"/>
    </font>
    <font>
      <sz val="11"/>
      <name val="Calibri"/>
      <family val="2"/>
      <scheme val="minor"/>
    </font>
    <font>
      <sz val="12"/>
      <name val="Calibri"/>
      <family val="2"/>
      <scheme val="minor"/>
    </font>
    <font>
      <sz val="16"/>
      <name val="Calibri"/>
      <family val="2"/>
      <scheme val="minor"/>
    </font>
    <font>
      <sz val="18"/>
      <name val="Calibri"/>
      <family val="2"/>
      <scheme val="minor"/>
    </font>
    <font>
      <sz val="16"/>
      <color theme="1"/>
      <name val="Calibri"/>
      <family val="2"/>
      <scheme val="minor"/>
    </font>
    <font>
      <sz val="12"/>
      <color theme="1"/>
      <name val="Calibri"/>
      <family val="2"/>
      <scheme val="minor"/>
    </font>
    <font>
      <sz val="14"/>
      <color theme="1"/>
      <name val="Calibri"/>
      <family val="2"/>
      <scheme val="minor"/>
    </font>
    <font>
      <b/>
      <sz val="12"/>
      <color rgb="FF434343"/>
      <name val="Calibri"/>
      <family val="2"/>
      <scheme val="minor"/>
    </font>
    <font>
      <sz val="12"/>
      <color rgb="FF434343"/>
      <name val="Calibri"/>
      <family val="2"/>
      <scheme val="minor"/>
    </font>
    <font>
      <b/>
      <sz val="14"/>
      <color rgb="FF434343"/>
      <name val="Roboto"/>
    </font>
    <font>
      <b/>
      <sz val="12"/>
      <color rgb="FF434343"/>
      <name val="Roboto"/>
    </font>
  </fonts>
  <fills count="12">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7"/>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FFFFF"/>
        <bgColor indexed="64"/>
      </patternFill>
    </fill>
    <fill>
      <patternFill patternType="solid">
        <fgColor rgb="FFF8F9FA"/>
        <bgColor indexed="64"/>
      </patternFill>
    </fill>
  </fills>
  <borders count="3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bottom/>
      <diagonal/>
    </border>
    <border>
      <left style="thin">
        <color rgb="FF7F7F7F"/>
      </left>
      <right style="thin">
        <color rgb="FF7F7F7F"/>
      </right>
      <top style="thin">
        <color rgb="FF7F7F7F"/>
      </top>
      <bottom style="thin">
        <color rgb="FF7F7F7F"/>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s>
  <cellStyleXfs count="5">
    <xf numFmtId="0" fontId="0" fillId="0" borderId="0"/>
    <xf numFmtId="0" fontId="19" fillId="6" borderId="0" applyNumberFormat="0" applyBorder="0" applyAlignment="0" applyProtection="0"/>
    <xf numFmtId="0" fontId="20" fillId="7" borderId="0" applyNumberFormat="0" applyBorder="0" applyAlignment="0" applyProtection="0"/>
    <xf numFmtId="0" fontId="22" fillId="8" borderId="0" applyNumberFormat="0" applyBorder="0" applyAlignment="0" applyProtection="0"/>
    <xf numFmtId="0" fontId="23" fillId="9" borderId="24" applyNumberFormat="0" applyAlignment="0" applyProtection="0"/>
  </cellStyleXfs>
  <cellXfs count="208">
    <xf numFmtId="0" fontId="0" fillId="0" borderId="0" xfId="0"/>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 fillId="0" borderId="16" xfId="0" applyFont="1" applyBorder="1" applyAlignment="1">
      <alignment horizontal="center"/>
    </xf>
    <xf numFmtId="0" fontId="2" fillId="0" borderId="13" xfId="0" applyFont="1" applyBorder="1" applyAlignment="1">
      <alignment horizontal="center" vertical="center"/>
    </xf>
    <xf numFmtId="0" fontId="2" fillId="0" borderId="17" xfId="0" applyFont="1" applyBorder="1" applyAlignment="1">
      <alignment horizontal="center" vertical="center"/>
    </xf>
    <xf numFmtId="0" fontId="5" fillId="2" borderId="11" xfId="0" applyFont="1" applyFill="1" applyBorder="1" applyAlignment="1">
      <alignment horizontal="left" vertical="center"/>
    </xf>
    <xf numFmtId="0" fontId="5"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8" xfId="0" applyFont="1" applyFill="1" applyBorder="1" applyAlignment="1">
      <alignment horizontal="center" vertical="center"/>
    </xf>
    <xf numFmtId="0" fontId="3" fillId="3" borderId="14"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7" xfId="0" applyFont="1" applyFill="1" applyBorder="1" applyAlignment="1">
      <alignment horizontal="center" vertical="center"/>
    </xf>
    <xf numFmtId="0" fontId="6" fillId="0" borderId="0" xfId="0" applyFont="1" applyAlignment="1">
      <alignment horizontal="center" vertical="center"/>
    </xf>
    <xf numFmtId="0" fontId="1" fillId="0" borderId="16" xfId="0" applyFont="1" applyBorder="1" applyAlignment="1">
      <alignment horizontal="center" vertical="center"/>
    </xf>
    <xf numFmtId="0" fontId="7" fillId="0" borderId="16" xfId="0" applyFont="1" applyBorder="1" applyAlignment="1">
      <alignment horizontal="center" vertical="center"/>
    </xf>
    <xf numFmtId="0" fontId="6" fillId="0" borderId="16" xfId="0" applyFont="1" applyBorder="1" applyAlignment="1">
      <alignment horizontal="center" vertical="center"/>
    </xf>
    <xf numFmtId="0" fontId="8" fillId="0" borderId="19" xfId="0" applyFont="1" applyBorder="1" applyAlignment="1">
      <alignment horizontal="center" vertical="center"/>
    </xf>
    <xf numFmtId="0" fontId="7" fillId="0" borderId="19" xfId="0" applyFont="1" applyBorder="1" applyAlignment="1">
      <alignment horizontal="center" vertical="center"/>
    </xf>
    <xf numFmtId="0" fontId="6" fillId="0" borderId="19" xfId="0" applyFont="1" applyBorder="1" applyAlignment="1">
      <alignment horizontal="center" vertical="center"/>
    </xf>
    <xf numFmtId="0" fontId="9" fillId="0" borderId="16" xfId="0" applyFont="1" applyBorder="1" applyAlignment="1">
      <alignment horizontal="center" vertical="center"/>
    </xf>
    <xf numFmtId="0" fontId="0" fillId="0" borderId="16" xfId="0" applyBorder="1"/>
    <xf numFmtId="0" fontId="10" fillId="0" borderId="16" xfId="0" applyFont="1" applyBorder="1" applyAlignment="1">
      <alignment horizontal="center" vertical="center"/>
    </xf>
    <xf numFmtId="0" fontId="5" fillId="2" borderId="16" xfId="0" applyFont="1" applyFill="1" applyBorder="1" applyAlignment="1">
      <alignment horizontal="left" vertical="center"/>
    </xf>
    <xf numFmtId="0" fontId="5" fillId="2" borderId="11"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2" xfId="0" applyFont="1" applyFill="1" applyBorder="1" applyAlignment="1">
      <alignment horizontal="left"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0" fontId="3" fillId="2" borderId="22" xfId="0" applyFont="1" applyFill="1" applyBorder="1" applyAlignment="1">
      <alignment horizontal="center" vertical="center"/>
    </xf>
    <xf numFmtId="0" fontId="4" fillId="2" borderId="16" xfId="0" applyFont="1" applyFill="1" applyBorder="1" applyAlignment="1">
      <alignment horizontal="center" vertical="center"/>
    </xf>
    <xf numFmtId="0" fontId="2" fillId="2" borderId="16" xfId="0" applyFont="1" applyFill="1" applyBorder="1" applyAlignment="1">
      <alignment horizontal="left" vertical="center"/>
    </xf>
    <xf numFmtId="0" fontId="11" fillId="2" borderId="16" xfId="0" applyFont="1" applyFill="1" applyBorder="1" applyAlignment="1">
      <alignment horizontal="center" vertical="center"/>
    </xf>
    <xf numFmtId="0" fontId="12" fillId="2" borderId="16" xfId="0" applyFont="1" applyFill="1" applyBorder="1" applyAlignment="1">
      <alignment horizontal="center" vertical="center"/>
    </xf>
    <xf numFmtId="0" fontId="5" fillId="2" borderId="14" xfId="0" applyFont="1" applyFill="1" applyBorder="1" applyAlignment="1">
      <alignment horizontal="center" vertical="center"/>
    </xf>
    <xf numFmtId="0" fontId="1" fillId="0" borderId="19" xfId="0" applyFont="1" applyBorder="1" applyAlignment="1">
      <alignment horizontal="center" vertical="center"/>
    </xf>
    <xf numFmtId="0" fontId="5" fillId="2" borderId="21" xfId="0" applyFont="1" applyFill="1" applyBorder="1" applyAlignment="1">
      <alignment horizontal="left" vertical="center"/>
    </xf>
    <xf numFmtId="0" fontId="3" fillId="2" borderId="7" xfId="0" applyFont="1" applyFill="1" applyBorder="1" applyAlignment="1">
      <alignment horizontal="center" vertical="center"/>
    </xf>
    <xf numFmtId="0" fontId="3" fillId="2" borderId="1" xfId="0" applyFont="1" applyFill="1" applyBorder="1" applyAlignment="1">
      <alignment horizontal="center" vertical="center"/>
    </xf>
    <xf numFmtId="0" fontId="14" fillId="0" borderId="16" xfId="0" applyFont="1" applyBorder="1" applyAlignment="1">
      <alignment horizontal="center" vertical="center"/>
    </xf>
    <xf numFmtId="0" fontId="5" fillId="2" borderId="0" xfId="0" applyFont="1" applyFill="1" applyAlignment="1">
      <alignment horizontal="left" vertical="center"/>
    </xf>
    <xf numFmtId="0" fontId="15" fillId="2" borderId="0" xfId="0" applyFont="1" applyFill="1" applyAlignment="1">
      <alignment horizontal="left" vertical="center"/>
    </xf>
    <xf numFmtId="0" fontId="3" fillId="2" borderId="0" xfId="0" applyFont="1" applyFill="1" applyAlignment="1">
      <alignment horizontal="center" vertical="center"/>
    </xf>
    <xf numFmtId="0" fontId="16" fillId="2" borderId="0" xfId="0" applyFont="1" applyFill="1" applyAlignment="1">
      <alignment horizontal="center" vertical="center"/>
    </xf>
    <xf numFmtId="0" fontId="13" fillId="0" borderId="0" xfId="0" applyFont="1"/>
    <xf numFmtId="0" fontId="5" fillId="3" borderId="2" xfId="0" applyFont="1" applyFill="1" applyBorder="1" applyAlignment="1">
      <alignment horizontal="left" vertical="center"/>
    </xf>
    <xf numFmtId="0" fontId="5" fillId="3" borderId="20" xfId="0" applyFont="1" applyFill="1" applyBorder="1" applyAlignment="1">
      <alignment horizontal="left" vertical="center"/>
    </xf>
    <xf numFmtId="0" fontId="3" fillId="3" borderId="20"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4" xfId="0" applyFont="1" applyFill="1" applyBorder="1" applyAlignment="1">
      <alignment horizontal="left" vertical="center"/>
    </xf>
    <xf numFmtId="0" fontId="3" fillId="2" borderId="21" xfId="0" applyFont="1" applyFill="1" applyBorder="1" applyAlignment="1">
      <alignment horizontal="left" vertical="center"/>
    </xf>
    <xf numFmtId="0" fontId="5" fillId="2" borderId="23" xfId="0" applyFont="1" applyFill="1" applyBorder="1" applyAlignment="1">
      <alignment horizontal="left" vertical="center"/>
    </xf>
    <xf numFmtId="0" fontId="4" fillId="4" borderId="17" xfId="0" applyFont="1" applyFill="1" applyBorder="1" applyAlignment="1">
      <alignment horizontal="center" vertical="center"/>
    </xf>
    <xf numFmtId="0" fontId="5" fillId="4" borderId="2" xfId="0" applyFont="1" applyFill="1" applyBorder="1" applyAlignment="1">
      <alignment horizontal="left" vertical="center"/>
    </xf>
    <xf numFmtId="0" fontId="4" fillId="5" borderId="17" xfId="0" applyFont="1" applyFill="1" applyBorder="1" applyAlignment="1">
      <alignment horizontal="center" vertical="center"/>
    </xf>
    <xf numFmtId="0" fontId="0" fillId="0" borderId="16" xfId="0" applyBorder="1" applyAlignment="1">
      <alignment horizontal="center" vertical="center"/>
    </xf>
    <xf numFmtId="0" fontId="3" fillId="3" borderId="16" xfId="0" applyFont="1" applyFill="1" applyBorder="1" applyAlignment="1">
      <alignment horizontal="center" vertical="center"/>
    </xf>
    <xf numFmtId="0" fontId="17" fillId="0" borderId="0" xfId="0" applyFont="1" applyAlignment="1">
      <alignment horizontal="center"/>
    </xf>
    <xf numFmtId="0" fontId="19" fillId="6" borderId="16" xfId="1" applyBorder="1" applyAlignment="1">
      <alignment vertical="center" wrapText="1"/>
    </xf>
    <xf numFmtId="0" fontId="2" fillId="0" borderId="0" xfId="0" applyFont="1" applyAlignment="1">
      <alignment horizontal="center" vertical="center" wrapText="1"/>
    </xf>
    <xf numFmtId="0" fontId="0" fillId="0" borderId="0" xfId="0" applyAlignment="1">
      <alignment horizontal="center"/>
    </xf>
    <xf numFmtId="0" fontId="24" fillId="10" borderId="16" xfId="0" applyFont="1" applyFill="1" applyBorder="1" applyAlignment="1">
      <alignment vertical="center" wrapText="1"/>
    </xf>
    <xf numFmtId="0" fontId="3" fillId="0" borderId="0" xfId="0" applyFont="1" applyAlignment="1">
      <alignment wrapText="1"/>
    </xf>
    <xf numFmtId="0" fontId="12" fillId="2" borderId="0" xfId="0" applyFont="1" applyFill="1" applyAlignment="1">
      <alignment horizontal="center" vertical="center"/>
    </xf>
    <xf numFmtId="0" fontId="13" fillId="0" borderId="0" xfId="0" applyFont="1" applyAlignment="1">
      <alignment horizontal="center"/>
    </xf>
    <xf numFmtId="0" fontId="14" fillId="0" borderId="0" xfId="0" applyFont="1" applyAlignment="1">
      <alignment horizontal="center" vertical="center"/>
    </xf>
    <xf numFmtId="0" fontId="22" fillId="8" borderId="16" xfId="3" applyBorder="1" applyAlignment="1">
      <alignment vertical="center" wrapText="1"/>
    </xf>
    <xf numFmtId="0" fontId="23" fillId="9" borderId="24" xfId="4" applyAlignment="1">
      <alignment vertical="center" wrapText="1"/>
    </xf>
    <xf numFmtId="0" fontId="5" fillId="2" borderId="15"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28" fillId="6" borderId="16" xfId="1" applyFont="1" applyBorder="1" applyAlignment="1">
      <alignment horizontal="center" vertical="center"/>
    </xf>
    <xf numFmtId="0" fontId="27" fillId="7" borderId="16" xfId="2" applyFont="1" applyBorder="1" applyAlignment="1">
      <alignment horizontal="center" vertical="center"/>
    </xf>
    <xf numFmtId="0" fontId="0" fillId="0" borderId="19" xfId="0" applyBorder="1" applyAlignment="1">
      <alignment horizontal="center"/>
    </xf>
    <xf numFmtId="0" fontId="26" fillId="6" borderId="16" xfId="1" applyFont="1" applyBorder="1" applyAlignment="1">
      <alignment horizontal="center" vertical="center" wrapText="1"/>
    </xf>
    <xf numFmtId="0" fontId="18" fillId="0" borderId="16" xfId="0" applyFont="1" applyBorder="1" applyAlignment="1">
      <alignment horizontal="center" vertical="center" wrapText="1"/>
    </xf>
    <xf numFmtId="0" fontId="0" fillId="0" borderId="16" xfId="0" applyBorder="1" applyAlignment="1">
      <alignment vertical="center" wrapText="1"/>
    </xf>
    <xf numFmtId="0" fontId="18" fillId="0" borderId="16" xfId="0" applyFont="1" applyBorder="1" applyAlignment="1">
      <alignment vertical="center" wrapText="1"/>
    </xf>
    <xf numFmtId="0" fontId="0" fillId="0" borderId="16" xfId="0" applyBorder="1" applyAlignment="1">
      <alignment horizontal="center" vertical="center" wrapText="1"/>
    </xf>
    <xf numFmtId="0" fontId="25" fillId="7" borderId="16" xfId="2" applyFont="1" applyBorder="1" applyAlignment="1">
      <alignment vertical="center" wrapText="1"/>
    </xf>
    <xf numFmtId="0" fontId="0" fillId="0" borderId="16" xfId="0" applyBorder="1" applyAlignment="1">
      <alignment horizontal="center"/>
    </xf>
    <xf numFmtId="0" fontId="13" fillId="0" borderId="16" xfId="0" applyFont="1" applyBorder="1" applyAlignment="1">
      <alignment horizontal="center"/>
    </xf>
    <xf numFmtId="0" fontId="29" fillId="0" borderId="16" xfId="0" applyFont="1" applyBorder="1" applyAlignment="1">
      <alignment horizontal="center" vertical="center"/>
    </xf>
    <xf numFmtId="0" fontId="0" fillId="0" borderId="19" xfId="0" applyBorder="1" applyAlignment="1">
      <alignment horizontal="center" vertical="center"/>
    </xf>
    <xf numFmtId="0" fontId="5" fillId="3" borderId="16" xfId="0" applyFont="1" applyFill="1" applyBorder="1" applyAlignment="1">
      <alignment horizontal="left" vertical="center"/>
    </xf>
    <xf numFmtId="0" fontId="0" fillId="0" borderId="26" xfId="0" applyBorder="1"/>
    <xf numFmtId="0" fontId="0" fillId="0" borderId="0" xfId="0" applyAlignment="1">
      <alignment horizontal="center" vertical="center" wrapText="1"/>
    </xf>
    <xf numFmtId="0" fontId="0" fillId="0" borderId="0" xfId="0" applyAlignment="1">
      <alignment vertical="center" wrapText="1"/>
    </xf>
    <xf numFmtId="0" fontId="25" fillId="7" borderId="0" xfId="2" applyFont="1" applyBorder="1" applyAlignment="1">
      <alignment vertical="center" wrapText="1"/>
    </xf>
    <xf numFmtId="0" fontId="4" fillId="4" borderId="14" xfId="0" applyFont="1" applyFill="1" applyBorder="1" applyAlignment="1">
      <alignment horizontal="center" vertical="center"/>
    </xf>
    <xf numFmtId="0" fontId="5" fillId="2" borderId="15" xfId="0" applyFont="1" applyFill="1" applyBorder="1" applyAlignment="1">
      <alignment horizontal="left" vertical="center"/>
    </xf>
    <xf numFmtId="0" fontId="5" fillId="2" borderId="27" xfId="0" applyFont="1" applyFill="1" applyBorder="1" applyAlignment="1">
      <alignment horizontal="left" vertical="center"/>
    </xf>
    <xf numFmtId="0" fontId="3" fillId="2" borderId="27" xfId="0" applyFont="1" applyFill="1" applyBorder="1" applyAlignment="1">
      <alignment horizontal="center" vertical="center"/>
    </xf>
    <xf numFmtId="0" fontId="3" fillId="2" borderId="19" xfId="0" applyFont="1" applyFill="1" applyBorder="1" applyAlignment="1">
      <alignment horizontal="center" vertical="center"/>
    </xf>
    <xf numFmtId="0" fontId="5" fillId="2" borderId="27" xfId="0" applyFont="1" applyFill="1" applyBorder="1" applyAlignment="1">
      <alignment horizontal="center" vertical="center"/>
    </xf>
    <xf numFmtId="0" fontId="4" fillId="2" borderId="0" xfId="0" applyFont="1" applyFill="1" applyAlignment="1">
      <alignment horizontal="center" vertical="center"/>
    </xf>
    <xf numFmtId="0" fontId="2" fillId="2" borderId="0" xfId="0" applyFont="1" applyFill="1" applyAlignment="1">
      <alignment horizontal="left" vertical="center"/>
    </xf>
    <xf numFmtId="0" fontId="11" fillId="2" borderId="0" xfId="0" applyFont="1" applyFill="1" applyAlignment="1">
      <alignment horizontal="center" vertical="center"/>
    </xf>
    <xf numFmtId="0" fontId="30" fillId="0" borderId="16" xfId="0" applyFont="1" applyBorder="1" applyAlignment="1">
      <alignment horizontal="center" vertical="top" wrapText="1"/>
    </xf>
    <xf numFmtId="0" fontId="30" fillId="0" borderId="16" xfId="0" applyFont="1" applyBorder="1" applyAlignment="1">
      <alignment horizontal="left" vertical="top"/>
    </xf>
    <xf numFmtId="0" fontId="30" fillId="0" borderId="4" xfId="0" applyFont="1" applyBorder="1" applyAlignment="1">
      <alignment horizontal="left" vertical="top"/>
    </xf>
    <xf numFmtId="0" fontId="30" fillId="0" borderId="16" xfId="0" applyFont="1" applyBorder="1" applyAlignment="1">
      <alignment horizontal="center" vertical="top"/>
    </xf>
    <xf numFmtId="0" fontId="33" fillId="11" borderId="16" xfId="0" applyFont="1" applyFill="1" applyBorder="1" applyAlignment="1">
      <alignment horizontal="center" vertical="top" wrapText="1"/>
    </xf>
    <xf numFmtId="0" fontId="33" fillId="11" borderId="16" xfId="0" applyFont="1" applyFill="1" applyBorder="1" applyAlignment="1">
      <alignment horizontal="left" vertical="top" wrapText="1"/>
    </xf>
    <xf numFmtId="0" fontId="24" fillId="11" borderId="16" xfId="0" applyFont="1" applyFill="1" applyBorder="1" applyAlignment="1">
      <alignment vertical="center" wrapText="1"/>
    </xf>
    <xf numFmtId="0" fontId="32" fillId="11" borderId="28" xfId="0" applyFont="1" applyFill="1" applyBorder="1" applyAlignment="1">
      <alignment vertical="center" wrapText="1"/>
    </xf>
    <xf numFmtId="0" fontId="33" fillId="10" borderId="16" xfId="0" applyFont="1" applyFill="1" applyBorder="1" applyAlignment="1">
      <alignment horizontal="left" vertical="top" wrapText="1"/>
    </xf>
    <xf numFmtId="0" fontId="24" fillId="0" borderId="16" xfId="0" applyFont="1" applyBorder="1" applyAlignment="1">
      <alignment wrapText="1"/>
    </xf>
    <xf numFmtId="0" fontId="24" fillId="10" borderId="16" xfId="0" applyFont="1" applyFill="1" applyBorder="1" applyAlignment="1">
      <alignment vertical="top" wrapText="1"/>
    </xf>
    <xf numFmtId="0" fontId="24" fillId="11" borderId="16" xfId="0" applyFont="1" applyFill="1" applyBorder="1" applyAlignment="1">
      <alignment horizontal="right" vertical="center" wrapText="1"/>
    </xf>
    <xf numFmtId="0" fontId="24" fillId="10" borderId="16" xfId="0" applyFont="1" applyFill="1" applyBorder="1" applyAlignment="1">
      <alignment horizontal="right" vertical="center" wrapText="1"/>
    </xf>
    <xf numFmtId="0" fontId="33" fillId="2" borderId="28" xfId="0" applyFont="1" applyFill="1" applyBorder="1" applyAlignment="1">
      <alignment horizontal="center" vertical="center" wrapText="1"/>
    </xf>
    <xf numFmtId="0" fontId="33" fillId="2" borderId="16" xfId="0" applyFont="1" applyFill="1" applyBorder="1" applyAlignment="1">
      <alignment horizontal="center" vertical="center" wrapText="1"/>
    </xf>
    <xf numFmtId="0" fontId="0" fillId="0" borderId="16" xfId="0" applyBorder="1" applyAlignment="1">
      <alignment horizontal="center" vertical="top"/>
    </xf>
    <xf numFmtId="0" fontId="33" fillId="10" borderId="16" xfId="0" applyFont="1" applyFill="1" applyBorder="1" applyAlignment="1">
      <alignment horizontal="center" vertical="top" wrapText="1"/>
    </xf>
    <xf numFmtId="0" fontId="30" fillId="0" borderId="16" xfId="0" applyFont="1" applyBorder="1" applyAlignment="1">
      <alignment horizontal="left" vertical="top" wrapText="1"/>
    </xf>
    <xf numFmtId="0" fontId="0" fillId="0" borderId="16" xfId="0" applyBorder="1" applyAlignment="1">
      <alignment vertical="top"/>
    </xf>
    <xf numFmtId="0" fontId="33" fillId="10" borderId="16" xfId="0" applyFont="1" applyFill="1" applyBorder="1" applyAlignment="1">
      <alignment vertical="top" wrapText="1"/>
    </xf>
    <xf numFmtId="0" fontId="0" fillId="0" borderId="20" xfId="0" applyBorder="1" applyAlignment="1">
      <alignment horizontal="center"/>
    </xf>
    <xf numFmtId="0" fontId="0" fillId="2" borderId="16" xfId="0" applyFill="1" applyBorder="1" applyAlignment="1">
      <alignment horizontal="center"/>
    </xf>
    <xf numFmtId="0" fontId="0" fillId="2" borderId="16" xfId="0" applyFill="1" applyBorder="1"/>
    <xf numFmtId="0" fontId="24" fillId="11" borderId="16" xfId="0" applyFont="1" applyFill="1" applyBorder="1" applyAlignment="1">
      <alignment vertical="top" wrapText="1"/>
    </xf>
    <xf numFmtId="0" fontId="24" fillId="11" borderId="16" xfId="0" applyFont="1" applyFill="1" applyBorder="1" applyAlignment="1">
      <alignment horizontal="right" vertical="top" wrapText="1"/>
    </xf>
    <xf numFmtId="0" fontId="24" fillId="0" borderId="16" xfId="0" applyFont="1" applyBorder="1" applyAlignment="1">
      <alignment horizontal="left" vertical="top" wrapText="1"/>
    </xf>
    <xf numFmtId="0" fontId="24" fillId="10" borderId="16" xfId="0" applyFont="1" applyFill="1" applyBorder="1" applyAlignment="1">
      <alignment horizontal="right" vertical="top" wrapText="1"/>
    </xf>
    <xf numFmtId="0" fontId="24" fillId="2" borderId="16" xfId="0" applyFont="1" applyFill="1" applyBorder="1" applyAlignment="1">
      <alignment vertical="top" wrapText="1"/>
    </xf>
    <xf numFmtId="0" fontId="24" fillId="2" borderId="16" xfId="0" applyFont="1" applyFill="1" applyBorder="1" applyAlignment="1">
      <alignment horizontal="center" vertical="top" wrapText="1"/>
    </xf>
    <xf numFmtId="0" fontId="32" fillId="11" borderId="16" xfId="0" applyFont="1" applyFill="1" applyBorder="1" applyAlignment="1">
      <alignment horizontal="left" vertical="top" wrapText="1"/>
    </xf>
    <xf numFmtId="0" fontId="24" fillId="0" borderId="16" xfId="0" applyFont="1" applyBorder="1" applyAlignment="1">
      <alignment vertical="top" wrapText="1"/>
    </xf>
    <xf numFmtId="0" fontId="33" fillId="11" borderId="16" xfId="0" applyFont="1" applyFill="1" applyBorder="1" applyAlignment="1">
      <alignment vertical="top" wrapText="1"/>
    </xf>
    <xf numFmtId="0" fontId="0" fillId="0" borderId="20" xfId="0" applyBorder="1" applyAlignment="1">
      <alignment vertical="top"/>
    </xf>
    <xf numFmtId="0" fontId="0" fillId="0" borderId="20" xfId="0" applyBorder="1" applyAlignment="1">
      <alignment horizontal="center" vertical="top"/>
    </xf>
    <xf numFmtId="0" fontId="33" fillId="11" borderId="20" xfId="0" applyFont="1" applyFill="1" applyBorder="1" applyAlignment="1">
      <alignment vertical="top" wrapText="1"/>
    </xf>
    <xf numFmtId="0" fontId="0" fillId="2" borderId="16" xfId="0" applyFill="1" applyBorder="1" applyAlignment="1">
      <alignment horizontal="center" vertical="top"/>
    </xf>
    <xf numFmtId="0" fontId="0" fillId="2" borderId="16" xfId="0" applyFill="1" applyBorder="1" applyAlignment="1">
      <alignment vertical="top"/>
    </xf>
    <xf numFmtId="18" fontId="0" fillId="0" borderId="16" xfId="0" applyNumberFormat="1" applyBorder="1" applyAlignment="1">
      <alignment horizontal="center" vertical="top"/>
    </xf>
    <xf numFmtId="0" fontId="30" fillId="0" borderId="28" xfId="0" applyFont="1" applyBorder="1" applyAlignment="1">
      <alignment horizontal="center" vertical="top"/>
    </xf>
    <xf numFmtId="0" fontId="33" fillId="2" borderId="0" xfId="0" applyFont="1" applyFill="1" applyAlignment="1">
      <alignment horizontal="center" vertical="center" wrapText="1"/>
    </xf>
    <xf numFmtId="0" fontId="33" fillId="2" borderId="20" xfId="0" applyFont="1" applyFill="1" applyBorder="1" applyAlignment="1">
      <alignment horizontal="center" vertical="center" wrapText="1"/>
    </xf>
    <xf numFmtId="0" fontId="24" fillId="2" borderId="20" xfId="0" applyFont="1" applyFill="1" applyBorder="1" applyAlignment="1">
      <alignment vertical="top" wrapText="1"/>
    </xf>
    <xf numFmtId="0" fontId="24" fillId="2" borderId="20" xfId="0" applyFont="1" applyFill="1" applyBorder="1" applyAlignment="1">
      <alignment horizontal="center" vertical="top" wrapText="1"/>
    </xf>
    <xf numFmtId="0" fontId="0" fillId="2" borderId="20" xfId="0" applyFill="1" applyBorder="1" applyAlignment="1">
      <alignment vertical="top" wrapText="1"/>
    </xf>
    <xf numFmtId="0" fontId="0" fillId="0" borderId="16" xfId="0" applyBorder="1" applyAlignment="1">
      <alignment wrapText="1"/>
    </xf>
    <xf numFmtId="0" fontId="24" fillId="10" borderId="20" xfId="0" applyFont="1" applyFill="1" applyBorder="1" applyAlignment="1">
      <alignment vertical="top" wrapText="1"/>
    </xf>
    <xf numFmtId="0" fontId="24" fillId="0" borderId="20" xfId="0" applyFont="1" applyBorder="1" applyAlignment="1">
      <alignment vertical="top"/>
    </xf>
    <xf numFmtId="0" fontId="24" fillId="11" borderId="20" xfId="0" applyFont="1" applyFill="1" applyBorder="1" applyAlignment="1">
      <alignment vertical="top" wrapText="1"/>
    </xf>
    <xf numFmtId="0" fontId="24" fillId="11" borderId="20" xfId="0" applyFont="1" applyFill="1" applyBorder="1" applyAlignment="1">
      <alignment horizontal="right" vertical="top" wrapText="1"/>
    </xf>
    <xf numFmtId="0" fontId="0" fillId="2" borderId="20" xfId="0" applyFill="1" applyBorder="1" applyAlignment="1">
      <alignment horizontal="center" vertical="top"/>
    </xf>
    <xf numFmtId="0" fontId="0" fillId="2" borderId="20" xfId="0" applyFill="1" applyBorder="1" applyAlignment="1">
      <alignment vertical="top"/>
    </xf>
    <xf numFmtId="0" fontId="0" fillId="0" borderId="28" xfId="0" applyBorder="1" applyAlignment="1">
      <alignment horizontal="center"/>
    </xf>
    <xf numFmtId="0" fontId="34" fillId="11" borderId="27" xfId="0" applyFont="1" applyFill="1" applyBorder="1" applyAlignment="1">
      <alignment horizontal="center" vertical="center" wrapText="1"/>
    </xf>
    <xf numFmtId="0" fontId="34" fillId="11" borderId="26" xfId="0" applyFont="1" applyFill="1" applyBorder="1" applyAlignment="1">
      <alignment horizontal="center" vertical="center" wrapText="1"/>
    </xf>
    <xf numFmtId="0" fontId="35" fillId="10" borderId="21" xfId="0" applyFont="1" applyFill="1" applyBorder="1" applyAlignment="1">
      <alignment horizontal="center" vertical="top" wrapText="1"/>
    </xf>
    <xf numFmtId="0" fontId="35" fillId="10" borderId="25" xfId="0" applyFont="1" applyFill="1" applyBorder="1" applyAlignment="1">
      <alignment horizontal="center" vertical="top" wrapText="1"/>
    </xf>
    <xf numFmtId="0" fontId="21" fillId="0" borderId="26" xfId="0" applyFont="1" applyBorder="1" applyAlignment="1">
      <alignment horizontal="center"/>
    </xf>
    <xf numFmtId="0" fontId="32" fillId="11" borderId="20" xfId="0" applyFont="1" applyFill="1" applyBorder="1" applyAlignment="1">
      <alignment vertical="center" wrapText="1"/>
    </xf>
    <xf numFmtId="0" fontId="32" fillId="11" borderId="28" xfId="0" applyFont="1" applyFill="1" applyBorder="1" applyAlignment="1">
      <alignment vertical="center" wrapText="1"/>
    </xf>
    <xf numFmtId="0" fontId="30" fillId="0" borderId="4" xfId="0" applyFont="1" applyBorder="1" applyAlignment="1">
      <alignment horizontal="center" vertical="top"/>
    </xf>
    <xf numFmtId="0" fontId="30" fillId="0" borderId="29" xfId="0" applyFont="1" applyBorder="1" applyAlignment="1">
      <alignment horizontal="center" vertical="top"/>
    </xf>
    <xf numFmtId="0" fontId="30" fillId="0" borderId="5" xfId="0" applyFont="1" applyBorder="1" applyAlignment="1">
      <alignment horizontal="center" vertical="top"/>
    </xf>
    <xf numFmtId="0" fontId="0" fillId="0" borderId="27" xfId="0" applyBorder="1" applyAlignment="1">
      <alignment horizontal="center"/>
    </xf>
    <xf numFmtId="0" fontId="0" fillId="0" borderId="26" xfId="0" applyBorder="1" applyAlignment="1">
      <alignment horizontal="center"/>
    </xf>
    <xf numFmtId="0" fontId="0" fillId="0" borderId="30" xfId="0" applyBorder="1" applyAlignment="1">
      <alignment horizontal="center"/>
    </xf>
    <xf numFmtId="0" fontId="30" fillId="0" borderId="20" xfId="0" applyFont="1" applyBorder="1" applyAlignment="1">
      <alignment horizontal="center" vertical="top"/>
    </xf>
    <xf numFmtId="0" fontId="30" fillId="0" borderId="28" xfId="0" applyFont="1" applyBorder="1" applyAlignment="1">
      <alignment horizontal="center" vertical="top"/>
    </xf>
    <xf numFmtId="0" fontId="30" fillId="0" borderId="19" xfId="0" applyFont="1" applyBorder="1" applyAlignment="1">
      <alignment horizontal="center" vertical="top"/>
    </xf>
    <xf numFmtId="0" fontId="33" fillId="11" borderId="20" xfId="0" applyFont="1" applyFill="1" applyBorder="1" applyAlignment="1">
      <alignment horizontal="center" vertical="top" wrapText="1"/>
    </xf>
    <xf numFmtId="0" fontId="33" fillId="11" borderId="28" xfId="0" applyFont="1" applyFill="1" applyBorder="1" applyAlignment="1">
      <alignment horizontal="center" vertical="top" wrapText="1"/>
    </xf>
    <xf numFmtId="0" fontId="33" fillId="11" borderId="19" xfId="0" applyFont="1" applyFill="1" applyBorder="1" applyAlignment="1">
      <alignment horizontal="center" vertical="top" wrapText="1"/>
    </xf>
    <xf numFmtId="0" fontId="32" fillId="11" borderId="16" xfId="0" applyFont="1" applyFill="1" applyBorder="1" applyAlignment="1">
      <alignment horizontal="center" vertical="top" wrapText="1"/>
    </xf>
    <xf numFmtId="0" fontId="32" fillId="10" borderId="20" xfId="0" applyFont="1" applyFill="1" applyBorder="1" applyAlignment="1">
      <alignment horizontal="center" vertical="top" wrapText="1"/>
    </xf>
    <xf numFmtId="0" fontId="32" fillId="10" borderId="28" xfId="0" applyFont="1" applyFill="1" applyBorder="1" applyAlignment="1">
      <alignment horizontal="center" vertical="top" wrapText="1"/>
    </xf>
    <xf numFmtId="0" fontId="32" fillId="10" borderId="19" xfId="0" applyFont="1" applyFill="1" applyBorder="1" applyAlignment="1">
      <alignment horizontal="center" vertical="top" wrapText="1"/>
    </xf>
    <xf numFmtId="0" fontId="13" fillId="0" borderId="16" xfId="0" applyFont="1" applyBorder="1" applyAlignment="1">
      <alignment horizontal="center"/>
    </xf>
    <xf numFmtId="0" fontId="17" fillId="0" borderId="0" xfId="0" applyFont="1" applyAlignment="1">
      <alignment horizontal="center"/>
    </xf>
    <xf numFmtId="0" fontId="1" fillId="0" borderId="1" xfId="0" applyFont="1" applyBorder="1" applyAlignment="1">
      <alignment horizontal="center" vertical="center"/>
    </xf>
    <xf numFmtId="0" fontId="4" fillId="0" borderId="14" xfId="0" applyFont="1" applyBorder="1"/>
    <xf numFmtId="0" fontId="2" fillId="0" borderId="1" xfId="0" applyFont="1" applyBorder="1" applyAlignment="1">
      <alignment horizontal="left" vertical="center"/>
    </xf>
    <xf numFmtId="0" fontId="3" fillId="0" borderId="15" xfId="0" applyFont="1" applyBorder="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xf>
    <xf numFmtId="0" fontId="3" fillId="0" borderId="12" xfId="0" applyFont="1" applyBorder="1"/>
    <xf numFmtId="0" fontId="3" fillId="0" borderId="13" xfId="0" applyFont="1" applyBorder="1"/>
    <xf numFmtId="0" fontId="2" fillId="0" borderId="1" xfId="0" applyFont="1" applyBorder="1" applyAlignment="1">
      <alignment horizontal="center" vertical="center" wrapText="1"/>
    </xf>
    <xf numFmtId="0" fontId="3" fillId="0" borderId="14" xfId="0" applyFont="1" applyBorder="1" applyAlignment="1">
      <alignment wrapText="1"/>
    </xf>
    <xf numFmtId="0" fontId="4" fillId="0" borderId="16" xfId="0" applyFont="1" applyBorder="1" applyAlignment="1">
      <alignment horizontal="center" vertical="center"/>
    </xf>
    <xf numFmtId="0" fontId="13" fillId="0" borderId="21" xfId="0" applyFont="1" applyBorder="1" applyAlignment="1">
      <alignment horizontal="center"/>
    </xf>
    <xf numFmtId="0" fontId="13" fillId="0" borderId="25" xfId="0" applyFont="1" applyBorder="1" applyAlignment="1">
      <alignment horizontal="center"/>
    </xf>
    <xf numFmtId="0" fontId="13" fillId="0" borderId="22" xfId="0" applyFont="1" applyBorder="1" applyAlignment="1">
      <alignment horizontal="center"/>
    </xf>
    <xf numFmtId="0" fontId="21" fillId="0" borderId="16" xfId="0" applyFont="1" applyBorder="1" applyAlignment="1">
      <alignment horizontal="center" vertical="center"/>
    </xf>
    <xf numFmtId="0" fontId="21" fillId="0" borderId="0" xfId="0" applyFont="1" applyAlignment="1">
      <alignment horizontal="center" vertical="center"/>
    </xf>
    <xf numFmtId="0" fontId="31" fillId="0" borderId="16" xfId="0" applyFont="1" applyBorder="1" applyAlignment="1">
      <alignment horizontal="center" vertical="center"/>
    </xf>
  </cellXfs>
  <cellStyles count="5">
    <cellStyle name="Bad" xfId="2" builtinId="27"/>
    <cellStyle name="Good" xfId="1" builtinId="26"/>
    <cellStyle name="Input" xfId="4" builtinId="20"/>
    <cellStyle name="Neutral" xfId="3" builtinId="28"/>
    <cellStyle name="Normal" xfId="0" builtinId="0"/>
  </cellStyles>
  <dxfs count="9">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EDB9-A3A2-424A-BC16-E7FEE6F47C97}">
  <dimension ref="A1:AJ66"/>
  <sheetViews>
    <sheetView zoomScale="70" zoomScaleNormal="70" workbookViewId="0">
      <pane ySplit="3" topLeftCell="A10" activePane="bottomLeft" state="frozen"/>
      <selection pane="bottomLeft" activeCell="X33" sqref="X33"/>
    </sheetView>
  </sheetViews>
  <sheetFormatPr defaultRowHeight="15" x14ac:dyDescent="0.25"/>
  <cols>
    <col min="1" max="1" width="10.28515625" bestFit="1" customWidth="1"/>
    <col min="2" max="2" width="36.85546875" bestFit="1" customWidth="1"/>
    <col min="3" max="3" width="36.140625" bestFit="1" customWidth="1"/>
    <col min="4" max="4" width="32.7109375" bestFit="1" customWidth="1"/>
    <col min="5" max="5" width="18.85546875" bestFit="1" customWidth="1"/>
    <col min="6" max="6" width="8.5703125" bestFit="1" customWidth="1"/>
    <col min="7" max="7" width="11.7109375" bestFit="1" customWidth="1"/>
    <col min="8" max="8" width="10.85546875" customWidth="1"/>
    <col min="9" max="9" width="11.7109375" bestFit="1" customWidth="1"/>
    <col min="10" max="10" width="8.5703125" bestFit="1" customWidth="1"/>
    <col min="11" max="11" width="16.28515625" customWidth="1"/>
    <col min="12" max="12" width="8" customWidth="1"/>
    <col min="13" max="13" width="15.140625" customWidth="1"/>
    <col min="14" max="14" width="9.5703125" customWidth="1"/>
    <col min="15" max="15" width="7.5703125" customWidth="1"/>
    <col min="16" max="16" width="7.85546875" customWidth="1"/>
    <col min="17" max="17" width="5.5703125" bestFit="1" customWidth="1"/>
    <col min="18" max="18" width="7.140625" bestFit="1" customWidth="1"/>
    <col min="19" max="19" width="6.5703125" bestFit="1" customWidth="1"/>
    <col min="20" max="20" width="10.140625" customWidth="1"/>
    <col min="21" max="21" width="7.140625" bestFit="1" customWidth="1"/>
    <col min="22" max="22" width="6.5703125" bestFit="1" customWidth="1"/>
    <col min="23" max="23" width="10.5703125" customWidth="1"/>
    <col min="24" max="24" width="21.7109375" bestFit="1" customWidth="1"/>
    <col min="26" max="26" width="15.7109375" customWidth="1"/>
    <col min="30" max="30" width="13.140625" customWidth="1"/>
    <col min="32" max="32" width="11.7109375" customWidth="1"/>
  </cols>
  <sheetData>
    <row r="1" spans="1:36" ht="42" customHeight="1" x14ac:dyDescent="0.5">
      <c r="A1" s="180" t="s">
        <v>141</v>
      </c>
      <c r="B1" s="180"/>
      <c r="C1" s="180"/>
      <c r="D1" s="180"/>
      <c r="E1" s="180"/>
      <c r="F1" s="180"/>
      <c r="G1" s="180"/>
      <c r="H1" s="180"/>
      <c r="I1" s="180"/>
      <c r="J1" s="180"/>
      <c r="K1" s="180"/>
      <c r="L1" s="180"/>
      <c r="M1" s="180"/>
      <c r="N1" s="180"/>
      <c r="O1" s="180"/>
      <c r="P1" s="180"/>
      <c r="Q1" s="180"/>
      <c r="R1" s="180"/>
      <c r="S1" s="180"/>
      <c r="T1" s="180"/>
      <c r="U1" s="180"/>
      <c r="V1" s="180"/>
      <c r="W1" s="180"/>
      <c r="X1" s="180"/>
    </row>
    <row r="2" spans="1:36" ht="23.25" x14ac:dyDescent="0.35">
      <c r="A2" s="181" t="s">
        <v>0</v>
      </c>
      <c r="B2" s="183" t="s">
        <v>1</v>
      </c>
      <c r="C2" s="185" t="s">
        <v>2</v>
      </c>
      <c r="D2" s="186"/>
      <c r="E2" s="186"/>
      <c r="F2" s="187" t="s">
        <v>3</v>
      </c>
      <c r="G2" s="188"/>
      <c r="H2" s="187" t="s">
        <v>4</v>
      </c>
      <c r="I2" s="188"/>
      <c r="J2" s="189" t="s">
        <v>5</v>
      </c>
      <c r="K2" s="190"/>
      <c r="L2" s="191" t="s">
        <v>6</v>
      </c>
      <c r="M2" s="192"/>
      <c r="N2" s="192" t="s">
        <v>7</v>
      </c>
      <c r="O2" s="192"/>
      <c r="P2" s="193"/>
      <c r="Q2" s="194" t="s">
        <v>8</v>
      </c>
      <c r="R2" s="196" t="s">
        <v>9</v>
      </c>
      <c r="S2" s="197"/>
      <c r="T2" s="198"/>
      <c r="U2" s="196" t="s">
        <v>10</v>
      </c>
      <c r="V2" s="197"/>
      <c r="W2" s="198"/>
      <c r="X2" s="199" t="s">
        <v>11</v>
      </c>
    </row>
    <row r="3" spans="1:36" ht="23.25" x14ac:dyDescent="0.35">
      <c r="A3" s="182"/>
      <c r="B3" s="184"/>
      <c r="C3" s="2" t="s">
        <v>12</v>
      </c>
      <c r="D3" s="2" t="s">
        <v>13</v>
      </c>
      <c r="E3" s="1" t="s">
        <v>14</v>
      </c>
      <c r="F3" s="1" t="s">
        <v>15</v>
      </c>
      <c r="G3" s="1" t="s">
        <v>16</v>
      </c>
      <c r="H3" s="2" t="s">
        <v>15</v>
      </c>
      <c r="I3" s="1" t="s">
        <v>16</v>
      </c>
      <c r="J3" s="2" t="s">
        <v>15</v>
      </c>
      <c r="K3" s="2" t="s">
        <v>16</v>
      </c>
      <c r="L3" s="2" t="s">
        <v>17</v>
      </c>
      <c r="M3" s="3" t="s">
        <v>18</v>
      </c>
      <c r="N3" s="3" t="s">
        <v>19</v>
      </c>
      <c r="O3" s="2" t="s">
        <v>17</v>
      </c>
      <c r="P3" s="2" t="s">
        <v>18</v>
      </c>
      <c r="Q3" s="195"/>
      <c r="R3" s="4" t="s">
        <v>20</v>
      </c>
      <c r="S3" s="5" t="s">
        <v>21</v>
      </c>
      <c r="T3" s="5" t="s">
        <v>22</v>
      </c>
      <c r="U3" s="5" t="s">
        <v>20</v>
      </c>
      <c r="V3" s="5" t="s">
        <v>21</v>
      </c>
      <c r="W3" s="5" t="s">
        <v>22</v>
      </c>
      <c r="X3" s="200"/>
    </row>
    <row r="4" spans="1:36" ht="23.25" x14ac:dyDescent="0.25">
      <c r="A4" s="57">
        <v>1</v>
      </c>
      <c r="B4" s="6" t="s">
        <v>23</v>
      </c>
      <c r="C4" s="6" t="s">
        <v>24</v>
      </c>
      <c r="D4" s="6" t="s">
        <v>25</v>
      </c>
      <c r="E4" s="7" t="s">
        <v>26</v>
      </c>
      <c r="F4" s="8">
        <v>0</v>
      </c>
      <c r="G4" s="8">
        <v>0</v>
      </c>
      <c r="H4" s="8">
        <v>1</v>
      </c>
      <c r="I4" s="9">
        <v>0</v>
      </c>
      <c r="J4" s="10">
        <v>0</v>
      </c>
      <c r="K4" s="10">
        <v>0</v>
      </c>
      <c r="L4" s="11">
        <v>0</v>
      </c>
      <c r="M4" s="12">
        <v>0</v>
      </c>
      <c r="N4" s="12">
        <v>0</v>
      </c>
      <c r="O4" s="13">
        <v>0</v>
      </c>
      <c r="P4" s="14">
        <v>0</v>
      </c>
      <c r="Q4" s="9">
        <v>0</v>
      </c>
      <c r="R4" s="10">
        <v>0</v>
      </c>
      <c r="S4" s="15">
        <v>1</v>
      </c>
      <c r="T4" s="15">
        <v>17</v>
      </c>
      <c r="U4" s="15">
        <v>0</v>
      </c>
      <c r="V4" s="15">
        <v>1</v>
      </c>
      <c r="W4" s="15">
        <v>3</v>
      </c>
      <c r="X4" s="15">
        <f>SUM(F4:W4)</f>
        <v>23</v>
      </c>
    </row>
    <row r="5" spans="1:36" ht="23.25" x14ac:dyDescent="0.25">
      <c r="A5" s="59">
        <v>2</v>
      </c>
      <c r="B5" s="6" t="s">
        <v>27</v>
      </c>
      <c r="C5" s="6" t="s">
        <v>28</v>
      </c>
      <c r="D5" s="6" t="s">
        <v>25</v>
      </c>
      <c r="E5" s="7" t="s">
        <v>29</v>
      </c>
      <c r="F5" s="8">
        <v>0</v>
      </c>
      <c r="G5" s="8">
        <v>0</v>
      </c>
      <c r="H5" s="8">
        <v>1</v>
      </c>
      <c r="I5" s="9">
        <v>0</v>
      </c>
      <c r="J5" s="10">
        <v>1</v>
      </c>
      <c r="K5" s="10">
        <v>0</v>
      </c>
      <c r="L5" s="10">
        <v>0</v>
      </c>
      <c r="M5" s="15">
        <v>2</v>
      </c>
      <c r="N5" s="15">
        <v>0</v>
      </c>
      <c r="O5" s="15">
        <v>0</v>
      </c>
      <c r="P5" s="15">
        <v>0</v>
      </c>
      <c r="Q5" s="9">
        <v>0</v>
      </c>
      <c r="R5" s="15">
        <v>0</v>
      </c>
      <c r="S5" s="15">
        <v>3</v>
      </c>
      <c r="T5" s="15">
        <v>13</v>
      </c>
      <c r="U5" s="15">
        <v>0</v>
      </c>
      <c r="V5" s="15">
        <v>2</v>
      </c>
      <c r="W5" s="15">
        <v>4</v>
      </c>
      <c r="X5" s="15">
        <f t="shared" ref="X5:X23" si="0">SUM(F5:W5)</f>
        <v>26</v>
      </c>
      <c r="Z5" s="201" t="s">
        <v>30</v>
      </c>
      <c r="AA5" s="201"/>
      <c r="AB5" s="201"/>
      <c r="AD5" s="201" t="s">
        <v>30</v>
      </c>
      <c r="AE5" s="201"/>
      <c r="AF5" s="201"/>
      <c r="AJ5" s="16"/>
    </row>
    <row r="6" spans="1:36" ht="26.25" x14ac:dyDescent="0.25">
      <c r="A6" s="57">
        <v>3</v>
      </c>
      <c r="B6" s="6" t="s">
        <v>31</v>
      </c>
      <c r="C6" s="6" t="s">
        <v>32</v>
      </c>
      <c r="D6" s="6" t="s">
        <v>25</v>
      </c>
      <c r="E6" s="7" t="s">
        <v>33</v>
      </c>
      <c r="F6" s="8">
        <v>0</v>
      </c>
      <c r="G6" s="8">
        <v>0</v>
      </c>
      <c r="H6" s="8">
        <v>0</v>
      </c>
      <c r="I6" s="9">
        <v>1</v>
      </c>
      <c r="J6" s="10">
        <v>4</v>
      </c>
      <c r="K6" s="10">
        <v>0</v>
      </c>
      <c r="L6" s="10">
        <v>1</v>
      </c>
      <c r="M6" s="15">
        <v>4</v>
      </c>
      <c r="N6" s="15">
        <v>0</v>
      </c>
      <c r="O6" s="15">
        <v>1</v>
      </c>
      <c r="P6" s="15">
        <v>0</v>
      </c>
      <c r="Q6" s="9">
        <v>0</v>
      </c>
      <c r="R6" s="15">
        <v>0</v>
      </c>
      <c r="S6" s="15">
        <v>0</v>
      </c>
      <c r="T6" s="15">
        <v>30</v>
      </c>
      <c r="U6" s="15">
        <v>0</v>
      </c>
      <c r="V6" s="15">
        <v>0</v>
      </c>
      <c r="W6" s="15">
        <v>20</v>
      </c>
      <c r="X6" s="15">
        <f t="shared" si="0"/>
        <v>61</v>
      </c>
      <c r="Z6" s="17" t="s">
        <v>15</v>
      </c>
      <c r="AA6" s="18" t="s">
        <v>19</v>
      </c>
      <c r="AB6" s="19">
        <v>9</v>
      </c>
      <c r="AD6" s="20" t="s">
        <v>16</v>
      </c>
      <c r="AE6" s="21" t="s">
        <v>19</v>
      </c>
      <c r="AF6" s="22">
        <f>(G29+U29+N29)</f>
        <v>1</v>
      </c>
      <c r="AJ6" s="16"/>
    </row>
    <row r="7" spans="1:36" ht="26.25" x14ac:dyDescent="0.25">
      <c r="A7" s="59">
        <v>4</v>
      </c>
      <c r="B7" s="6" t="s">
        <v>34</v>
      </c>
      <c r="C7" s="6" t="s">
        <v>35</v>
      </c>
      <c r="D7" s="6" t="s">
        <v>36</v>
      </c>
      <c r="E7" s="7" t="s">
        <v>37</v>
      </c>
      <c r="F7" s="8">
        <v>0</v>
      </c>
      <c r="G7" s="8">
        <v>0</v>
      </c>
      <c r="H7" s="8">
        <v>1</v>
      </c>
      <c r="I7" s="9">
        <v>0</v>
      </c>
      <c r="J7" s="10">
        <v>7</v>
      </c>
      <c r="K7" s="10">
        <v>3</v>
      </c>
      <c r="L7" s="10">
        <v>1</v>
      </c>
      <c r="M7" s="15">
        <v>3</v>
      </c>
      <c r="N7" s="15">
        <v>0</v>
      </c>
      <c r="O7" s="15">
        <v>0</v>
      </c>
      <c r="P7" s="15">
        <v>0</v>
      </c>
      <c r="Q7" s="9">
        <v>0</v>
      </c>
      <c r="R7" s="15">
        <v>0</v>
      </c>
      <c r="S7" s="15">
        <v>0</v>
      </c>
      <c r="T7" s="15">
        <v>52</v>
      </c>
      <c r="U7" s="15">
        <v>0</v>
      </c>
      <c r="V7" s="15">
        <v>0</v>
      </c>
      <c r="W7" s="15">
        <v>42</v>
      </c>
      <c r="X7" s="15">
        <f t="shared" si="0"/>
        <v>109</v>
      </c>
      <c r="Z7" s="23"/>
      <c r="AA7" s="18" t="s">
        <v>17</v>
      </c>
      <c r="AB7" s="19">
        <f>(H29+L29+S29)</f>
        <v>52</v>
      </c>
      <c r="AD7" s="23"/>
      <c r="AE7" s="18" t="s">
        <v>17</v>
      </c>
      <c r="AF7" s="19">
        <v>22</v>
      </c>
      <c r="AJ7" s="16"/>
    </row>
    <row r="8" spans="1:36" ht="26.25" x14ac:dyDescent="0.25">
      <c r="A8" s="57">
        <v>5</v>
      </c>
      <c r="B8" s="6" t="s">
        <v>38</v>
      </c>
      <c r="C8" s="6" t="s">
        <v>39</v>
      </c>
      <c r="D8" s="6" t="s">
        <v>25</v>
      </c>
      <c r="E8" s="7" t="s">
        <v>40</v>
      </c>
      <c r="F8" s="8">
        <v>0</v>
      </c>
      <c r="G8" s="8">
        <v>0</v>
      </c>
      <c r="H8" s="8">
        <v>1</v>
      </c>
      <c r="I8" s="9">
        <v>0</v>
      </c>
      <c r="J8" s="10">
        <v>1</v>
      </c>
      <c r="K8" s="10">
        <v>0</v>
      </c>
      <c r="L8" s="10">
        <v>0</v>
      </c>
      <c r="M8" s="15">
        <v>1</v>
      </c>
      <c r="N8" s="15">
        <v>0</v>
      </c>
      <c r="O8" s="15">
        <v>0</v>
      </c>
      <c r="P8" s="15">
        <v>0</v>
      </c>
      <c r="Q8" s="9">
        <v>0</v>
      </c>
      <c r="R8" s="15">
        <v>0</v>
      </c>
      <c r="S8" s="15">
        <v>1</v>
      </c>
      <c r="T8" s="15">
        <v>9</v>
      </c>
      <c r="U8" s="15">
        <v>0</v>
      </c>
      <c r="V8" s="15">
        <v>1</v>
      </c>
      <c r="W8" s="15">
        <v>3</v>
      </c>
      <c r="X8" s="15">
        <f t="shared" si="0"/>
        <v>17</v>
      </c>
      <c r="Z8" s="23"/>
      <c r="AA8" s="18" t="s">
        <v>41</v>
      </c>
      <c r="AB8" s="19">
        <v>672</v>
      </c>
      <c r="AD8" s="23"/>
      <c r="AE8" s="18" t="s">
        <v>41</v>
      </c>
      <c r="AF8" s="19">
        <v>343</v>
      </c>
      <c r="AJ8" s="16"/>
    </row>
    <row r="9" spans="1:36" ht="26.25" x14ac:dyDescent="0.25">
      <c r="A9" s="59">
        <v>6</v>
      </c>
      <c r="B9" s="6" t="s">
        <v>42</v>
      </c>
      <c r="C9" s="6" t="s">
        <v>43</v>
      </c>
      <c r="D9" s="6" t="s">
        <v>44</v>
      </c>
      <c r="E9" s="7" t="s">
        <v>45</v>
      </c>
      <c r="F9" s="8">
        <v>0</v>
      </c>
      <c r="G9" s="8">
        <v>0</v>
      </c>
      <c r="H9" s="8">
        <v>1</v>
      </c>
      <c r="I9" s="9">
        <v>0</v>
      </c>
      <c r="J9" s="10">
        <v>0</v>
      </c>
      <c r="K9" s="10">
        <v>0</v>
      </c>
      <c r="L9" s="10">
        <v>0</v>
      </c>
      <c r="M9" s="15">
        <v>2</v>
      </c>
      <c r="N9" s="15">
        <v>0</v>
      </c>
      <c r="O9" s="15">
        <v>0</v>
      </c>
      <c r="P9" s="15"/>
      <c r="Q9" s="9">
        <v>0</v>
      </c>
      <c r="R9" s="15">
        <v>0</v>
      </c>
      <c r="S9" s="15">
        <v>0</v>
      </c>
      <c r="T9" s="15">
        <v>8</v>
      </c>
      <c r="U9" s="15">
        <v>0</v>
      </c>
      <c r="V9" s="15">
        <v>0</v>
      </c>
      <c r="W9" s="15">
        <v>8</v>
      </c>
      <c r="X9" s="15">
        <f t="shared" si="0"/>
        <v>19</v>
      </c>
      <c r="Z9" s="24"/>
      <c r="AA9" s="18" t="s">
        <v>46</v>
      </c>
      <c r="AB9" s="25">
        <v>1</v>
      </c>
      <c r="AJ9" s="16"/>
    </row>
    <row r="10" spans="1:36" ht="23.25" x14ac:dyDescent="0.25">
      <c r="A10" s="57">
        <v>7</v>
      </c>
      <c r="B10" s="6" t="s">
        <v>47</v>
      </c>
      <c r="C10" s="6" t="s">
        <v>48</v>
      </c>
      <c r="D10" s="6" t="s">
        <v>25</v>
      </c>
      <c r="E10" s="7" t="s">
        <v>49</v>
      </c>
      <c r="F10" s="8">
        <v>0</v>
      </c>
      <c r="G10" s="8">
        <v>0</v>
      </c>
      <c r="H10" s="8">
        <v>1</v>
      </c>
      <c r="I10" s="9">
        <v>0</v>
      </c>
      <c r="J10" s="10">
        <v>0</v>
      </c>
      <c r="K10" s="10">
        <v>0</v>
      </c>
      <c r="L10" s="10">
        <v>0</v>
      </c>
      <c r="M10" s="15">
        <v>0</v>
      </c>
      <c r="N10" s="15">
        <v>0</v>
      </c>
      <c r="O10" s="15">
        <v>0</v>
      </c>
      <c r="P10" s="15">
        <v>0</v>
      </c>
      <c r="Q10" s="9">
        <v>0</v>
      </c>
      <c r="R10" s="15">
        <v>0</v>
      </c>
      <c r="S10" s="15">
        <v>1</v>
      </c>
      <c r="T10" s="15">
        <v>9</v>
      </c>
      <c r="U10" s="15">
        <v>0</v>
      </c>
      <c r="V10" s="15">
        <v>0</v>
      </c>
      <c r="W10" s="15">
        <v>7</v>
      </c>
      <c r="X10" s="15">
        <f t="shared" si="0"/>
        <v>18</v>
      </c>
      <c r="AJ10" s="16"/>
    </row>
    <row r="11" spans="1:36" ht="23.25" x14ac:dyDescent="0.25">
      <c r="A11" s="59">
        <v>8</v>
      </c>
      <c r="B11" s="6" t="s">
        <v>50</v>
      </c>
      <c r="C11" s="6" t="s">
        <v>51</v>
      </c>
      <c r="D11" s="6" t="s">
        <v>52</v>
      </c>
      <c r="E11" s="7" t="s">
        <v>53</v>
      </c>
      <c r="F11" s="8">
        <v>0</v>
      </c>
      <c r="G11" s="8">
        <v>0</v>
      </c>
      <c r="H11" s="8">
        <v>1</v>
      </c>
      <c r="I11" s="9">
        <v>0</v>
      </c>
      <c r="J11" s="10">
        <v>0</v>
      </c>
      <c r="K11" s="10">
        <v>0</v>
      </c>
      <c r="L11" s="10">
        <v>0</v>
      </c>
      <c r="M11" s="15">
        <v>0</v>
      </c>
      <c r="N11" s="15">
        <v>0</v>
      </c>
      <c r="O11" s="15">
        <v>0</v>
      </c>
      <c r="P11" s="15">
        <v>0</v>
      </c>
      <c r="Q11" s="9">
        <v>0</v>
      </c>
      <c r="R11" s="15">
        <v>0</v>
      </c>
      <c r="S11" s="15">
        <v>1</v>
      </c>
      <c r="T11" s="15">
        <v>17</v>
      </c>
      <c r="U11" s="15">
        <v>0</v>
      </c>
      <c r="V11" s="15">
        <v>0</v>
      </c>
      <c r="W11" s="15">
        <v>5</v>
      </c>
      <c r="X11" s="15">
        <f t="shared" si="0"/>
        <v>24</v>
      </c>
      <c r="AJ11" s="16"/>
    </row>
    <row r="12" spans="1:36" ht="23.25" x14ac:dyDescent="0.25">
      <c r="A12" s="57">
        <v>9</v>
      </c>
      <c r="B12" s="6" t="s">
        <v>54</v>
      </c>
      <c r="C12" s="6" t="s">
        <v>55</v>
      </c>
      <c r="D12" s="6" t="s">
        <v>56</v>
      </c>
      <c r="E12" s="7" t="s">
        <v>57</v>
      </c>
      <c r="F12" s="8">
        <v>1</v>
      </c>
      <c r="G12" s="8">
        <v>0</v>
      </c>
      <c r="H12" s="8">
        <v>0</v>
      </c>
      <c r="I12" s="9">
        <v>0</v>
      </c>
      <c r="J12" s="10">
        <v>0</v>
      </c>
      <c r="K12" s="10">
        <v>0</v>
      </c>
      <c r="L12" s="10">
        <v>0</v>
      </c>
      <c r="M12" s="15">
        <v>0</v>
      </c>
      <c r="N12" s="15">
        <v>0</v>
      </c>
      <c r="O12" s="15">
        <v>0</v>
      </c>
      <c r="P12" s="15">
        <v>0</v>
      </c>
      <c r="Q12" s="9">
        <v>0</v>
      </c>
      <c r="R12" s="15">
        <v>0</v>
      </c>
      <c r="S12" s="15">
        <v>0</v>
      </c>
      <c r="T12" s="15">
        <v>6</v>
      </c>
      <c r="U12" s="15">
        <v>0</v>
      </c>
      <c r="V12" s="15">
        <v>0</v>
      </c>
      <c r="W12" s="15">
        <v>5</v>
      </c>
      <c r="X12" s="15">
        <f t="shared" si="0"/>
        <v>12</v>
      </c>
      <c r="AJ12" s="16"/>
    </row>
    <row r="13" spans="1:36" ht="23.25" x14ac:dyDescent="0.25">
      <c r="A13" s="59">
        <v>10</v>
      </c>
      <c r="B13" s="6" t="s">
        <v>58</v>
      </c>
      <c r="C13" s="6" t="s">
        <v>59</v>
      </c>
      <c r="D13" s="6" t="s">
        <v>56</v>
      </c>
      <c r="E13" s="7" t="s">
        <v>60</v>
      </c>
      <c r="F13" s="8">
        <v>0</v>
      </c>
      <c r="G13" s="8">
        <v>1</v>
      </c>
      <c r="H13" s="8">
        <v>0</v>
      </c>
      <c r="I13" s="9">
        <v>0</v>
      </c>
      <c r="J13" s="10">
        <v>1</v>
      </c>
      <c r="K13" s="10">
        <v>0</v>
      </c>
      <c r="L13" s="10">
        <v>1</v>
      </c>
      <c r="M13" s="15">
        <v>3</v>
      </c>
      <c r="N13" s="15">
        <v>0</v>
      </c>
      <c r="O13" s="15">
        <v>0</v>
      </c>
      <c r="P13" s="15">
        <v>0</v>
      </c>
      <c r="Q13" s="9">
        <v>0</v>
      </c>
      <c r="R13" s="15">
        <v>0</v>
      </c>
      <c r="S13" s="15">
        <v>0</v>
      </c>
      <c r="T13" s="15">
        <v>37</v>
      </c>
      <c r="U13" s="15">
        <v>0</v>
      </c>
      <c r="V13" s="15">
        <v>0</v>
      </c>
      <c r="W13" s="15">
        <v>9</v>
      </c>
      <c r="X13" s="15">
        <f t="shared" si="0"/>
        <v>52</v>
      </c>
      <c r="AJ13" s="16"/>
    </row>
    <row r="14" spans="1:36" ht="23.25" x14ac:dyDescent="0.25">
      <c r="A14" s="57">
        <v>11</v>
      </c>
      <c r="B14" s="6" t="s">
        <v>61</v>
      </c>
      <c r="C14" s="6" t="s">
        <v>62</v>
      </c>
      <c r="D14" s="6" t="s">
        <v>63</v>
      </c>
      <c r="E14" s="7" t="s">
        <v>64</v>
      </c>
      <c r="F14" s="8">
        <v>1</v>
      </c>
      <c r="G14" s="8">
        <v>0</v>
      </c>
      <c r="H14" s="8">
        <v>0</v>
      </c>
      <c r="I14" s="9">
        <v>0</v>
      </c>
      <c r="J14" s="10">
        <v>2</v>
      </c>
      <c r="K14" s="10">
        <v>0</v>
      </c>
      <c r="L14" s="10">
        <v>0</v>
      </c>
      <c r="M14" s="15">
        <v>1</v>
      </c>
      <c r="N14" s="15">
        <v>0</v>
      </c>
      <c r="O14" s="15">
        <v>0</v>
      </c>
      <c r="P14" s="15">
        <v>0</v>
      </c>
      <c r="Q14" s="9">
        <v>0</v>
      </c>
      <c r="R14" s="15">
        <v>0</v>
      </c>
      <c r="S14" s="15">
        <v>1</v>
      </c>
      <c r="T14" s="15">
        <v>14</v>
      </c>
      <c r="U14" s="15">
        <v>0</v>
      </c>
      <c r="V14" s="15">
        <v>1</v>
      </c>
      <c r="W14" s="15">
        <v>3</v>
      </c>
      <c r="X14" s="15">
        <f t="shared" si="0"/>
        <v>23</v>
      </c>
      <c r="AJ14" s="16"/>
    </row>
    <row r="15" spans="1:36" ht="23.25" x14ac:dyDescent="0.25">
      <c r="A15" s="59">
        <v>12</v>
      </c>
      <c r="B15" s="6" t="s">
        <v>65</v>
      </c>
      <c r="C15" s="6" t="s">
        <v>66</v>
      </c>
      <c r="D15" s="6" t="s">
        <v>67</v>
      </c>
      <c r="E15" s="7" t="s">
        <v>68</v>
      </c>
      <c r="F15" s="8">
        <v>0</v>
      </c>
      <c r="G15" s="8">
        <v>0</v>
      </c>
      <c r="H15" s="8">
        <v>1</v>
      </c>
      <c r="I15" s="9">
        <v>0</v>
      </c>
      <c r="J15" s="10">
        <v>5</v>
      </c>
      <c r="K15" s="10">
        <v>0</v>
      </c>
      <c r="L15" s="10">
        <v>5</v>
      </c>
      <c r="M15" s="15">
        <v>3</v>
      </c>
      <c r="N15" s="15">
        <v>0</v>
      </c>
      <c r="O15" s="15">
        <v>1</v>
      </c>
      <c r="P15" s="15">
        <v>0</v>
      </c>
      <c r="Q15" s="9">
        <v>0</v>
      </c>
      <c r="R15" s="15">
        <v>0</v>
      </c>
      <c r="S15" s="15">
        <v>0</v>
      </c>
      <c r="T15" s="15">
        <v>44</v>
      </c>
      <c r="U15" s="15">
        <v>0</v>
      </c>
      <c r="V15" s="15">
        <v>0</v>
      </c>
      <c r="W15" s="15">
        <v>39</v>
      </c>
      <c r="X15" s="15">
        <f t="shared" si="0"/>
        <v>98</v>
      </c>
      <c r="AJ15" s="16"/>
    </row>
    <row r="16" spans="1:36" ht="23.25" x14ac:dyDescent="0.25">
      <c r="A16" s="57">
        <v>13</v>
      </c>
      <c r="B16" s="6" t="s">
        <v>69</v>
      </c>
      <c r="C16" s="6" t="s">
        <v>70</v>
      </c>
      <c r="D16" s="6" t="s">
        <v>71</v>
      </c>
      <c r="E16" s="7" t="s">
        <v>72</v>
      </c>
      <c r="F16" s="8">
        <v>1</v>
      </c>
      <c r="G16" s="8">
        <v>0</v>
      </c>
      <c r="H16" s="8">
        <v>0</v>
      </c>
      <c r="I16" s="9">
        <v>0</v>
      </c>
      <c r="J16" s="10">
        <v>0</v>
      </c>
      <c r="K16" s="10">
        <v>0</v>
      </c>
      <c r="L16" s="10">
        <v>0</v>
      </c>
      <c r="M16" s="15">
        <v>1</v>
      </c>
      <c r="N16" s="15">
        <v>0</v>
      </c>
      <c r="O16" s="15">
        <v>0</v>
      </c>
      <c r="P16" s="15">
        <v>0</v>
      </c>
      <c r="Q16" s="9">
        <v>0</v>
      </c>
      <c r="R16" s="15">
        <v>0</v>
      </c>
      <c r="S16" s="15">
        <v>0</v>
      </c>
      <c r="T16" s="15">
        <v>5</v>
      </c>
      <c r="U16" s="15">
        <v>0</v>
      </c>
      <c r="V16" s="15">
        <v>0</v>
      </c>
      <c r="W16" s="15">
        <v>0</v>
      </c>
      <c r="X16" s="15">
        <f t="shared" si="0"/>
        <v>7</v>
      </c>
      <c r="AJ16" s="16"/>
    </row>
    <row r="17" spans="1:36" ht="23.25" x14ac:dyDescent="0.25">
      <c r="A17" s="59">
        <v>14</v>
      </c>
      <c r="B17" s="6" t="s">
        <v>73</v>
      </c>
      <c r="C17" s="6" t="s">
        <v>74</v>
      </c>
      <c r="D17" s="6" t="s">
        <v>25</v>
      </c>
      <c r="E17" s="7" t="s">
        <v>75</v>
      </c>
      <c r="F17" s="8">
        <v>0</v>
      </c>
      <c r="G17" s="8">
        <v>0</v>
      </c>
      <c r="H17" s="8">
        <v>1</v>
      </c>
      <c r="I17" s="9">
        <v>0</v>
      </c>
      <c r="J17" s="10">
        <v>0</v>
      </c>
      <c r="K17" s="10">
        <v>0</v>
      </c>
      <c r="L17" s="10">
        <v>4</v>
      </c>
      <c r="M17" s="15">
        <v>0</v>
      </c>
      <c r="N17" s="15">
        <v>0</v>
      </c>
      <c r="O17" s="15">
        <v>0</v>
      </c>
      <c r="P17" s="15">
        <v>0</v>
      </c>
      <c r="Q17" s="9">
        <v>0</v>
      </c>
      <c r="R17" s="15">
        <v>0</v>
      </c>
      <c r="S17" s="15">
        <v>4</v>
      </c>
      <c r="T17" s="15">
        <v>20</v>
      </c>
      <c r="U17" s="15">
        <v>0</v>
      </c>
      <c r="V17" s="15">
        <v>4</v>
      </c>
      <c r="W17" s="15">
        <v>17</v>
      </c>
      <c r="X17" s="15">
        <f t="shared" si="0"/>
        <v>50</v>
      </c>
      <c r="AJ17" s="16"/>
    </row>
    <row r="18" spans="1:36" ht="23.25" x14ac:dyDescent="0.25">
      <c r="A18" s="57">
        <v>15</v>
      </c>
      <c r="B18" s="6" t="s">
        <v>76</v>
      </c>
      <c r="C18" s="6" t="s">
        <v>77</v>
      </c>
      <c r="D18" s="6" t="s">
        <v>78</v>
      </c>
      <c r="E18" s="7" t="s">
        <v>79</v>
      </c>
      <c r="F18" s="8">
        <v>0</v>
      </c>
      <c r="G18" s="8">
        <v>0</v>
      </c>
      <c r="H18" s="8">
        <v>1</v>
      </c>
      <c r="I18" s="9">
        <v>0</v>
      </c>
      <c r="J18" s="10">
        <v>5</v>
      </c>
      <c r="K18" s="10">
        <v>0</v>
      </c>
      <c r="L18" s="10">
        <v>0</v>
      </c>
      <c r="M18" s="15">
        <v>1</v>
      </c>
      <c r="N18" s="15">
        <v>0</v>
      </c>
      <c r="O18" s="15">
        <v>0</v>
      </c>
      <c r="P18" s="15">
        <v>0</v>
      </c>
      <c r="Q18" s="9">
        <v>0</v>
      </c>
      <c r="R18" s="15">
        <v>0</v>
      </c>
      <c r="S18" s="15">
        <v>4</v>
      </c>
      <c r="T18" s="15">
        <v>10</v>
      </c>
      <c r="U18" s="15">
        <v>0</v>
      </c>
      <c r="V18" s="15">
        <v>0</v>
      </c>
      <c r="W18" s="15">
        <v>10</v>
      </c>
      <c r="X18" s="15">
        <f t="shared" si="0"/>
        <v>31</v>
      </c>
      <c r="AJ18" s="16"/>
    </row>
    <row r="19" spans="1:36" ht="23.25" x14ac:dyDescent="0.25">
      <c r="A19" s="59">
        <v>16</v>
      </c>
      <c r="B19" s="6" t="s">
        <v>80</v>
      </c>
      <c r="C19" s="6" t="s">
        <v>81</v>
      </c>
      <c r="D19" s="6" t="s">
        <v>25</v>
      </c>
      <c r="E19" s="7" t="s">
        <v>82</v>
      </c>
      <c r="F19" s="8">
        <v>0</v>
      </c>
      <c r="G19" s="8">
        <v>0</v>
      </c>
      <c r="H19" s="8">
        <v>1</v>
      </c>
      <c r="I19" s="9">
        <v>0</v>
      </c>
      <c r="J19" s="10">
        <v>1</v>
      </c>
      <c r="K19" s="10">
        <v>0</v>
      </c>
      <c r="L19" s="10">
        <v>0</v>
      </c>
      <c r="M19" s="15">
        <v>1</v>
      </c>
      <c r="N19" s="15">
        <v>0</v>
      </c>
      <c r="O19" s="15">
        <v>1</v>
      </c>
      <c r="P19" s="15">
        <v>1</v>
      </c>
      <c r="Q19" s="9">
        <v>0</v>
      </c>
      <c r="R19" s="15">
        <v>0</v>
      </c>
      <c r="S19" s="15">
        <v>0</v>
      </c>
      <c r="T19" s="15">
        <v>20</v>
      </c>
      <c r="U19" s="15">
        <v>0</v>
      </c>
      <c r="V19" s="15">
        <v>0</v>
      </c>
      <c r="W19" s="15">
        <v>5</v>
      </c>
      <c r="X19" s="15">
        <f t="shared" si="0"/>
        <v>30</v>
      </c>
      <c r="AJ19" s="16"/>
    </row>
    <row r="20" spans="1:36" ht="23.25" x14ac:dyDescent="0.25">
      <c r="A20" s="57">
        <v>17</v>
      </c>
      <c r="B20" s="6" t="s">
        <v>83</v>
      </c>
      <c r="C20" s="6" t="s">
        <v>84</v>
      </c>
      <c r="D20" s="6" t="s">
        <v>44</v>
      </c>
      <c r="E20" s="7" t="s">
        <v>85</v>
      </c>
      <c r="F20" s="8">
        <v>0</v>
      </c>
      <c r="G20" s="8">
        <v>0</v>
      </c>
      <c r="H20" s="8">
        <v>1</v>
      </c>
      <c r="I20" s="9">
        <v>0</v>
      </c>
      <c r="J20" s="10">
        <v>0</v>
      </c>
      <c r="K20" s="10">
        <v>0</v>
      </c>
      <c r="L20" s="10">
        <v>0</v>
      </c>
      <c r="M20" s="15">
        <v>0</v>
      </c>
      <c r="N20" s="15">
        <v>0</v>
      </c>
      <c r="O20" s="15">
        <v>0</v>
      </c>
      <c r="P20" s="15">
        <v>0</v>
      </c>
      <c r="Q20" s="9">
        <v>0</v>
      </c>
      <c r="R20" s="15">
        <v>0</v>
      </c>
      <c r="S20" s="15">
        <v>0</v>
      </c>
      <c r="T20" s="15">
        <v>1</v>
      </c>
      <c r="U20" s="15">
        <v>0</v>
      </c>
      <c r="V20" s="15">
        <v>0</v>
      </c>
      <c r="W20" s="15">
        <v>0</v>
      </c>
      <c r="X20" s="15">
        <f t="shared" si="0"/>
        <v>2</v>
      </c>
      <c r="AJ20" s="16"/>
    </row>
    <row r="21" spans="1:36" ht="23.25" x14ac:dyDescent="0.25">
      <c r="A21" s="59">
        <v>18</v>
      </c>
      <c r="B21" s="6" t="s">
        <v>86</v>
      </c>
      <c r="C21" s="6" t="s">
        <v>87</v>
      </c>
      <c r="D21" s="6" t="s">
        <v>25</v>
      </c>
      <c r="E21" s="7" t="s">
        <v>88</v>
      </c>
      <c r="F21" s="8">
        <v>0</v>
      </c>
      <c r="G21" s="8">
        <v>0</v>
      </c>
      <c r="H21" s="8">
        <v>1</v>
      </c>
      <c r="I21" s="9">
        <v>0</v>
      </c>
      <c r="J21" s="10">
        <v>0</v>
      </c>
      <c r="K21" s="10">
        <v>0</v>
      </c>
      <c r="L21" s="10">
        <v>0</v>
      </c>
      <c r="M21" s="15">
        <v>2</v>
      </c>
      <c r="N21" s="15">
        <v>0</v>
      </c>
      <c r="O21" s="15">
        <v>0</v>
      </c>
      <c r="P21" s="15">
        <v>0</v>
      </c>
      <c r="Q21" s="9">
        <v>0</v>
      </c>
      <c r="R21" s="15">
        <v>0</v>
      </c>
      <c r="S21" s="15">
        <v>0</v>
      </c>
      <c r="T21" s="15">
        <v>20</v>
      </c>
      <c r="U21" s="15">
        <v>0</v>
      </c>
      <c r="V21" s="15">
        <v>0</v>
      </c>
      <c r="W21" s="15">
        <v>9</v>
      </c>
      <c r="X21" s="15">
        <f t="shared" si="0"/>
        <v>32</v>
      </c>
      <c r="AJ21" s="16"/>
    </row>
    <row r="22" spans="1:36" ht="23.25" x14ac:dyDescent="0.25">
      <c r="A22" s="57">
        <v>19</v>
      </c>
      <c r="B22" s="6" t="s">
        <v>89</v>
      </c>
      <c r="C22" s="6" t="s">
        <v>192</v>
      </c>
      <c r="D22" s="6" t="s">
        <v>90</v>
      </c>
      <c r="E22" s="6">
        <v>7011550465</v>
      </c>
      <c r="F22" s="9">
        <v>1</v>
      </c>
      <c r="G22" s="9">
        <v>0</v>
      </c>
      <c r="H22" s="8">
        <v>0</v>
      </c>
      <c r="I22" s="9">
        <v>0</v>
      </c>
      <c r="J22" s="10">
        <v>7</v>
      </c>
      <c r="K22" s="10">
        <v>0</v>
      </c>
      <c r="L22" s="10">
        <v>2</v>
      </c>
      <c r="M22" s="15">
        <v>4</v>
      </c>
      <c r="N22" s="15">
        <v>0</v>
      </c>
      <c r="O22" s="15">
        <v>0</v>
      </c>
      <c r="P22" s="15">
        <v>0</v>
      </c>
      <c r="Q22" s="9">
        <v>0</v>
      </c>
      <c r="R22" s="15">
        <v>0</v>
      </c>
      <c r="S22" s="15">
        <v>3</v>
      </c>
      <c r="T22" s="15">
        <v>56</v>
      </c>
      <c r="U22" s="15">
        <v>0</v>
      </c>
      <c r="V22" s="15">
        <v>6</v>
      </c>
      <c r="W22" s="15">
        <v>38</v>
      </c>
      <c r="X22" s="15">
        <f t="shared" si="0"/>
        <v>117</v>
      </c>
      <c r="AJ22" s="16"/>
    </row>
    <row r="23" spans="1:36" ht="23.25" x14ac:dyDescent="0.25">
      <c r="A23" s="59">
        <v>20</v>
      </c>
      <c r="B23" s="6" t="s">
        <v>91</v>
      </c>
      <c r="C23" s="6" t="s">
        <v>92</v>
      </c>
      <c r="D23" s="6" t="s">
        <v>44</v>
      </c>
      <c r="E23" s="26">
        <v>9467130300</v>
      </c>
      <c r="F23" s="9">
        <v>0</v>
      </c>
      <c r="G23" s="9">
        <v>0</v>
      </c>
      <c r="H23" s="8">
        <v>1</v>
      </c>
      <c r="I23" s="9">
        <v>0</v>
      </c>
      <c r="J23" s="10">
        <v>0</v>
      </c>
      <c r="K23" s="10">
        <v>0</v>
      </c>
      <c r="L23" s="10">
        <v>0</v>
      </c>
      <c r="M23" s="15">
        <v>0</v>
      </c>
      <c r="N23" s="15">
        <v>0</v>
      </c>
      <c r="O23" s="15">
        <v>0</v>
      </c>
      <c r="P23" s="15">
        <v>1</v>
      </c>
      <c r="Q23" s="9">
        <v>0</v>
      </c>
      <c r="R23" s="15">
        <v>0</v>
      </c>
      <c r="S23" s="15">
        <v>1</v>
      </c>
      <c r="T23" s="15">
        <v>4</v>
      </c>
      <c r="U23" s="15">
        <v>0</v>
      </c>
      <c r="V23" s="15">
        <v>0</v>
      </c>
      <c r="W23" s="15">
        <v>1</v>
      </c>
      <c r="X23" s="15">
        <f t="shared" si="0"/>
        <v>8</v>
      </c>
      <c r="AJ23" s="16"/>
    </row>
    <row r="24" spans="1:36" ht="23.25" x14ac:dyDescent="0.25">
      <c r="A24" s="57">
        <v>21</v>
      </c>
      <c r="B24" s="6" t="s">
        <v>93</v>
      </c>
      <c r="C24" s="7" t="s">
        <v>94</v>
      </c>
      <c r="D24" s="6" t="s">
        <v>95</v>
      </c>
      <c r="E24" s="7" t="s">
        <v>96</v>
      </c>
      <c r="F24" s="8">
        <v>1</v>
      </c>
      <c r="G24" s="9">
        <v>0</v>
      </c>
      <c r="H24" s="10">
        <v>0</v>
      </c>
      <c r="I24" s="10">
        <v>0</v>
      </c>
      <c r="J24" s="27">
        <v>1</v>
      </c>
      <c r="K24" s="27">
        <v>0</v>
      </c>
      <c r="L24" s="28">
        <v>0</v>
      </c>
      <c r="M24" s="8">
        <v>2</v>
      </c>
      <c r="N24" s="8">
        <v>0</v>
      </c>
      <c r="O24" s="8">
        <v>0</v>
      </c>
      <c r="P24" s="9">
        <v>0</v>
      </c>
      <c r="Q24" s="10">
        <v>1</v>
      </c>
      <c r="R24" s="10">
        <v>1</v>
      </c>
      <c r="S24" s="27">
        <v>1</v>
      </c>
      <c r="T24" s="27">
        <v>65</v>
      </c>
      <c r="U24" s="28">
        <v>0</v>
      </c>
      <c r="V24" s="8">
        <v>0</v>
      </c>
      <c r="W24" s="8">
        <v>40</v>
      </c>
      <c r="X24" s="9">
        <f>SUM(C24:W24)</f>
        <v>112</v>
      </c>
      <c r="AJ24" s="16"/>
    </row>
    <row r="25" spans="1:36" ht="23.25" x14ac:dyDescent="0.25">
      <c r="A25" s="59">
        <v>22</v>
      </c>
      <c r="B25" s="29" t="s">
        <v>101</v>
      </c>
      <c r="C25" s="6" t="s">
        <v>169</v>
      </c>
      <c r="D25" s="6" t="s">
        <v>90</v>
      </c>
      <c r="E25" s="26" t="s">
        <v>170</v>
      </c>
      <c r="F25" s="30">
        <v>1</v>
      </c>
      <c r="G25" s="30">
        <v>0</v>
      </c>
      <c r="H25" s="31">
        <v>0</v>
      </c>
      <c r="I25" s="30">
        <v>0</v>
      </c>
      <c r="J25" s="32">
        <v>6</v>
      </c>
      <c r="K25" s="30">
        <v>0</v>
      </c>
      <c r="L25" s="30">
        <v>0</v>
      </c>
      <c r="M25" s="30">
        <v>5</v>
      </c>
      <c r="N25" s="41">
        <v>0</v>
      </c>
      <c r="O25" s="30">
        <v>0</v>
      </c>
      <c r="P25" s="30">
        <v>0</v>
      </c>
      <c r="Q25" s="30">
        <v>0</v>
      </c>
      <c r="R25" s="30">
        <v>0</v>
      </c>
      <c r="S25" s="30">
        <v>0</v>
      </c>
      <c r="T25" s="30">
        <v>40</v>
      </c>
      <c r="U25" s="30">
        <v>0</v>
      </c>
      <c r="V25" s="30">
        <v>1</v>
      </c>
      <c r="W25" s="30">
        <v>20</v>
      </c>
      <c r="X25" s="41">
        <f>SUM(F25:W25)</f>
        <v>73</v>
      </c>
      <c r="AJ25" s="16"/>
    </row>
    <row r="26" spans="1:36" ht="23.25" x14ac:dyDescent="0.25">
      <c r="A26" s="57">
        <v>23</v>
      </c>
      <c r="B26" s="48" t="s">
        <v>144</v>
      </c>
      <c r="C26" s="48" t="s">
        <v>145</v>
      </c>
      <c r="D26" s="29" t="s">
        <v>146</v>
      </c>
      <c r="E26" s="49">
        <v>7776836317</v>
      </c>
      <c r="F26" s="50">
        <v>0</v>
      </c>
      <c r="G26" s="50">
        <v>0</v>
      </c>
      <c r="H26" s="51">
        <v>1</v>
      </c>
      <c r="I26" s="50">
        <v>0</v>
      </c>
      <c r="J26" s="52">
        <v>0</v>
      </c>
      <c r="K26" s="50">
        <v>0</v>
      </c>
      <c r="L26" s="50">
        <v>0</v>
      </c>
      <c r="M26" s="50">
        <v>0</v>
      </c>
      <c r="N26" s="53">
        <v>0</v>
      </c>
      <c r="O26" s="50">
        <v>0</v>
      </c>
      <c r="P26" s="50">
        <v>0</v>
      </c>
      <c r="Q26" s="50">
        <v>0</v>
      </c>
      <c r="R26" s="50"/>
      <c r="S26" s="50">
        <v>2</v>
      </c>
      <c r="T26" s="50">
        <v>8</v>
      </c>
      <c r="U26" s="50">
        <v>0</v>
      </c>
      <c r="V26" s="50">
        <v>1</v>
      </c>
      <c r="W26" s="50">
        <v>0</v>
      </c>
      <c r="X26" s="53">
        <f>SUM(F26:W26)</f>
        <v>12</v>
      </c>
      <c r="AJ26" s="16"/>
    </row>
    <row r="27" spans="1:36" ht="23.25" x14ac:dyDescent="0.25">
      <c r="A27" s="59">
        <v>24</v>
      </c>
      <c r="B27" s="90" t="s">
        <v>147</v>
      </c>
      <c r="C27" s="90" t="s">
        <v>148</v>
      </c>
      <c r="D27" s="26" t="s">
        <v>149</v>
      </c>
      <c r="E27" s="49">
        <v>8607137299</v>
      </c>
      <c r="F27" s="50">
        <v>0</v>
      </c>
      <c r="G27" s="50">
        <v>0</v>
      </c>
      <c r="H27" s="51">
        <v>0</v>
      </c>
      <c r="I27" s="50">
        <v>0</v>
      </c>
      <c r="J27" s="52">
        <v>0</v>
      </c>
      <c r="K27" s="50">
        <v>0</v>
      </c>
      <c r="L27" s="50">
        <v>0</v>
      </c>
      <c r="M27" s="50">
        <v>0</v>
      </c>
      <c r="N27" s="53">
        <v>0</v>
      </c>
      <c r="O27" s="50">
        <v>0</v>
      </c>
      <c r="P27" s="50">
        <v>0</v>
      </c>
      <c r="Q27" s="50">
        <v>0</v>
      </c>
      <c r="R27" s="50">
        <v>0</v>
      </c>
      <c r="S27" s="50">
        <v>0</v>
      </c>
      <c r="T27" s="50">
        <v>0</v>
      </c>
      <c r="U27" s="50">
        <v>0</v>
      </c>
      <c r="V27" s="50">
        <v>0</v>
      </c>
      <c r="W27" s="50">
        <v>2</v>
      </c>
      <c r="X27" s="53">
        <f>SUM(F27:W27)</f>
        <v>2</v>
      </c>
      <c r="AJ27" s="16"/>
    </row>
    <row r="28" spans="1:36" ht="23.25" x14ac:dyDescent="0.25">
      <c r="A28" s="57">
        <v>25</v>
      </c>
      <c r="B28" s="26" t="s">
        <v>150</v>
      </c>
      <c r="C28" s="26" t="s">
        <v>151</v>
      </c>
      <c r="D28" s="26" t="s">
        <v>154</v>
      </c>
      <c r="E28" s="49">
        <v>8252966659</v>
      </c>
      <c r="F28" s="9">
        <v>1</v>
      </c>
      <c r="G28" s="9">
        <v>0</v>
      </c>
      <c r="H28" s="9">
        <v>0</v>
      </c>
      <c r="I28" s="9">
        <v>0</v>
      </c>
      <c r="J28" s="9">
        <v>0</v>
      </c>
      <c r="K28" s="9">
        <v>0</v>
      </c>
      <c r="L28" s="9">
        <v>0</v>
      </c>
      <c r="M28" s="9">
        <v>4</v>
      </c>
      <c r="N28" s="9">
        <v>0</v>
      </c>
      <c r="O28" s="9">
        <v>1</v>
      </c>
      <c r="P28" s="9">
        <v>0</v>
      </c>
      <c r="Q28" s="9">
        <v>0</v>
      </c>
      <c r="R28" s="9">
        <v>0</v>
      </c>
      <c r="S28" s="9">
        <v>0</v>
      </c>
      <c r="T28" s="61">
        <v>25</v>
      </c>
      <c r="U28" s="9">
        <v>0</v>
      </c>
      <c r="V28" s="9">
        <v>0</v>
      </c>
      <c r="W28" s="9">
        <v>10</v>
      </c>
      <c r="X28" s="53">
        <f>SUM(F28:W28)</f>
        <v>41</v>
      </c>
      <c r="AJ28" s="16"/>
    </row>
    <row r="29" spans="1:36" ht="23.25" x14ac:dyDescent="0.25">
      <c r="A29" s="33"/>
      <c r="B29" s="34" t="s">
        <v>102</v>
      </c>
      <c r="C29" s="35"/>
      <c r="D29" s="35"/>
      <c r="E29" s="35"/>
      <c r="F29" s="36">
        <f t="shared" ref="F29:X29" si="1">SUM(F4:F28)</f>
        <v>7</v>
      </c>
      <c r="G29" s="36">
        <f t="shared" si="1"/>
        <v>1</v>
      </c>
      <c r="H29" s="36">
        <f t="shared" si="1"/>
        <v>15</v>
      </c>
      <c r="I29" s="36">
        <f t="shared" si="1"/>
        <v>1</v>
      </c>
      <c r="J29" s="36">
        <f t="shared" si="1"/>
        <v>41</v>
      </c>
      <c r="K29" s="36">
        <f t="shared" si="1"/>
        <v>3</v>
      </c>
      <c r="L29" s="36">
        <f t="shared" si="1"/>
        <v>14</v>
      </c>
      <c r="M29" s="36">
        <f t="shared" si="1"/>
        <v>39</v>
      </c>
      <c r="N29" s="36">
        <f t="shared" si="1"/>
        <v>0</v>
      </c>
      <c r="O29" s="36">
        <f t="shared" si="1"/>
        <v>4</v>
      </c>
      <c r="P29" s="36">
        <f t="shared" si="1"/>
        <v>2</v>
      </c>
      <c r="Q29" s="36">
        <f t="shared" si="1"/>
        <v>1</v>
      </c>
      <c r="R29" s="36">
        <f t="shared" si="1"/>
        <v>1</v>
      </c>
      <c r="S29" s="36">
        <f t="shared" si="1"/>
        <v>23</v>
      </c>
      <c r="T29" s="36">
        <f t="shared" si="1"/>
        <v>530</v>
      </c>
      <c r="U29" s="36">
        <f t="shared" si="1"/>
        <v>0</v>
      </c>
      <c r="V29" s="36">
        <f t="shared" si="1"/>
        <v>17</v>
      </c>
      <c r="W29" s="36">
        <f t="shared" si="1"/>
        <v>300</v>
      </c>
      <c r="X29" s="36">
        <f t="shared" si="1"/>
        <v>999</v>
      </c>
    </row>
    <row r="30" spans="1:36" ht="23.25" x14ac:dyDescent="0.25">
      <c r="A30" s="101"/>
      <c r="B30" s="102"/>
      <c r="C30" s="103"/>
      <c r="D30" s="103"/>
      <c r="E30" s="103"/>
      <c r="F30" s="68"/>
      <c r="G30" s="68"/>
      <c r="H30" s="68"/>
      <c r="I30" s="68"/>
      <c r="J30" s="68"/>
      <c r="K30" s="68"/>
      <c r="L30" s="68"/>
      <c r="M30" s="68"/>
      <c r="N30" s="68"/>
      <c r="O30" s="68"/>
      <c r="P30" s="68"/>
      <c r="Q30" s="68"/>
      <c r="R30" s="68"/>
      <c r="S30" s="68"/>
      <c r="T30" s="68"/>
      <c r="U30" s="68"/>
      <c r="V30" s="68"/>
      <c r="W30" s="68"/>
      <c r="X30" s="68"/>
    </row>
    <row r="31" spans="1:36" ht="29.25" customHeight="1" x14ac:dyDescent="0.25"/>
    <row r="32" spans="1:36" ht="37.5" customHeight="1" x14ac:dyDescent="0.45">
      <c r="A32" s="179" t="s">
        <v>190</v>
      </c>
      <c r="B32" s="179"/>
      <c r="C32" s="179"/>
      <c r="D32" s="179"/>
      <c r="E32" s="179"/>
      <c r="F32" s="179"/>
      <c r="G32" s="179"/>
      <c r="H32" s="179"/>
      <c r="I32" s="179"/>
      <c r="J32" s="179"/>
      <c r="K32" s="179"/>
      <c r="L32" s="179"/>
      <c r="M32" s="179"/>
      <c r="N32" s="179"/>
      <c r="O32" s="179"/>
      <c r="P32" s="179"/>
      <c r="Q32" s="179"/>
      <c r="R32" s="179"/>
      <c r="S32" s="179"/>
      <c r="T32" s="179"/>
      <c r="U32" s="179"/>
      <c r="V32" s="179"/>
      <c r="W32" s="179"/>
      <c r="X32" s="179"/>
    </row>
    <row r="33" spans="1:36" ht="30.75" customHeight="1" x14ac:dyDescent="0.25">
      <c r="A33" s="95">
        <v>1</v>
      </c>
      <c r="B33" s="96" t="s">
        <v>97</v>
      </c>
      <c r="C33" s="97" t="s">
        <v>98</v>
      </c>
      <c r="D33" s="96" t="s">
        <v>99</v>
      </c>
      <c r="E33" s="97" t="s">
        <v>100</v>
      </c>
      <c r="F33" s="98">
        <v>1</v>
      </c>
      <c r="G33" s="99">
        <v>0</v>
      </c>
      <c r="H33" s="11">
        <v>0</v>
      </c>
      <c r="I33" s="11">
        <v>0</v>
      </c>
      <c r="J33" s="73">
        <v>2</v>
      </c>
      <c r="K33" s="73">
        <v>1</v>
      </c>
      <c r="L33" s="100">
        <v>0</v>
      </c>
      <c r="M33" s="98">
        <v>5</v>
      </c>
      <c r="N33" s="98">
        <v>0</v>
      </c>
      <c r="O33" s="98">
        <v>0</v>
      </c>
      <c r="P33" s="99">
        <v>0</v>
      </c>
      <c r="Q33" s="11">
        <v>0</v>
      </c>
      <c r="R33" s="11">
        <v>0</v>
      </c>
      <c r="S33" s="73">
        <v>0</v>
      </c>
      <c r="T33" s="73">
        <v>55</v>
      </c>
      <c r="U33" s="100">
        <v>0</v>
      </c>
      <c r="V33" s="98">
        <v>0</v>
      </c>
      <c r="W33" s="98">
        <v>37</v>
      </c>
      <c r="X33" s="99">
        <f>SUM(C33:W33)</f>
        <v>101</v>
      </c>
      <c r="AJ33" s="16"/>
    </row>
    <row r="35" spans="1:36" x14ac:dyDescent="0.25">
      <c r="A35" s="179" t="s">
        <v>142</v>
      </c>
      <c r="B35" s="179"/>
      <c r="C35" s="179"/>
      <c r="D35" s="179"/>
      <c r="E35" s="179"/>
      <c r="F35" s="179"/>
      <c r="G35" s="179"/>
      <c r="H35" s="179"/>
      <c r="I35" s="179"/>
      <c r="J35" s="179"/>
      <c r="K35" s="179"/>
      <c r="L35" s="179"/>
      <c r="M35" s="179"/>
      <c r="N35" s="179"/>
      <c r="O35" s="179"/>
      <c r="P35" s="179"/>
      <c r="Q35" s="179"/>
      <c r="R35" s="179"/>
      <c r="S35" s="179"/>
      <c r="T35" s="179"/>
      <c r="U35" s="179"/>
      <c r="V35" s="179"/>
      <c r="W35" s="179"/>
      <c r="X35" s="179"/>
    </row>
    <row r="36" spans="1:36" x14ac:dyDescent="0.25">
      <c r="A36" s="179"/>
      <c r="B36" s="179"/>
      <c r="C36" s="179"/>
      <c r="D36" s="179"/>
      <c r="E36" s="179"/>
      <c r="F36" s="179"/>
      <c r="G36" s="179"/>
      <c r="H36" s="179"/>
      <c r="I36" s="179"/>
      <c r="J36" s="179"/>
      <c r="K36" s="179"/>
      <c r="L36" s="179"/>
      <c r="M36" s="179"/>
      <c r="N36" s="179"/>
      <c r="O36" s="179"/>
      <c r="P36" s="179"/>
      <c r="Q36" s="179"/>
      <c r="R36" s="179"/>
      <c r="S36" s="179"/>
      <c r="T36" s="179"/>
      <c r="U36" s="179"/>
      <c r="V36" s="179"/>
      <c r="W36" s="179"/>
      <c r="X36" s="179"/>
    </row>
    <row r="37" spans="1:36" ht="23.25" x14ac:dyDescent="0.25">
      <c r="A37" s="59">
        <v>1</v>
      </c>
      <c r="B37" s="6" t="s">
        <v>103</v>
      </c>
      <c r="C37" s="6" t="s">
        <v>104</v>
      </c>
      <c r="D37" s="6" t="s">
        <v>99</v>
      </c>
      <c r="E37" s="6" t="s">
        <v>105</v>
      </c>
      <c r="F37" s="8">
        <v>0</v>
      </c>
      <c r="G37" s="8">
        <v>1</v>
      </c>
      <c r="H37" s="8">
        <v>0</v>
      </c>
      <c r="I37" s="9">
        <v>0</v>
      </c>
      <c r="J37" s="8">
        <v>4</v>
      </c>
      <c r="K37" s="8">
        <v>1</v>
      </c>
      <c r="L37" s="8">
        <v>0</v>
      </c>
      <c r="M37" s="9">
        <v>3</v>
      </c>
      <c r="N37" s="8">
        <v>1</v>
      </c>
      <c r="O37" s="8">
        <v>1</v>
      </c>
      <c r="P37" s="8">
        <v>2</v>
      </c>
      <c r="Q37" s="9">
        <v>1</v>
      </c>
      <c r="R37" s="8">
        <v>0</v>
      </c>
      <c r="S37" s="8">
        <v>3</v>
      </c>
      <c r="T37" s="8">
        <v>48</v>
      </c>
      <c r="U37" s="9">
        <v>1</v>
      </c>
      <c r="V37" s="8">
        <v>1</v>
      </c>
      <c r="W37" s="8">
        <v>28</v>
      </c>
      <c r="X37" s="37">
        <f>SUM(C37:W37)</f>
        <v>95</v>
      </c>
    </row>
    <row r="38" spans="1:36" ht="23.25" x14ac:dyDescent="0.25">
      <c r="A38" s="59">
        <v>2</v>
      </c>
      <c r="B38" s="6" t="s">
        <v>106</v>
      </c>
      <c r="C38" s="6" t="s">
        <v>107</v>
      </c>
      <c r="D38" s="6" t="s">
        <v>90</v>
      </c>
      <c r="E38" s="6" t="s">
        <v>108</v>
      </c>
      <c r="F38" s="8">
        <v>1</v>
      </c>
      <c r="G38" s="8">
        <v>0</v>
      </c>
      <c r="H38" s="8">
        <v>0</v>
      </c>
      <c r="I38" s="9">
        <v>0</v>
      </c>
      <c r="J38" s="10">
        <v>1</v>
      </c>
      <c r="K38" s="10">
        <v>0</v>
      </c>
      <c r="L38" s="10">
        <v>2</v>
      </c>
      <c r="M38" s="15">
        <v>6</v>
      </c>
      <c r="N38" s="15">
        <v>0</v>
      </c>
      <c r="O38" s="15">
        <v>0</v>
      </c>
      <c r="P38" s="15">
        <v>2</v>
      </c>
      <c r="Q38" s="9">
        <v>0</v>
      </c>
      <c r="R38" s="15">
        <v>0</v>
      </c>
      <c r="S38" s="15">
        <v>0</v>
      </c>
      <c r="T38" s="15">
        <v>56</v>
      </c>
      <c r="U38" s="15">
        <v>0</v>
      </c>
      <c r="V38" s="15">
        <v>0</v>
      </c>
      <c r="W38" s="15">
        <v>46</v>
      </c>
      <c r="X38" s="15">
        <f t="shared" ref="X38:X43" si="2">SUM(F38:W38)</f>
        <v>114</v>
      </c>
      <c r="Z38" s="201" t="s">
        <v>109</v>
      </c>
      <c r="AA38" s="201"/>
      <c r="AB38" s="201"/>
      <c r="AD38" s="201" t="s">
        <v>109</v>
      </c>
      <c r="AE38" s="201"/>
      <c r="AF38" s="201"/>
    </row>
    <row r="39" spans="1:36" ht="26.25" x14ac:dyDescent="0.25">
      <c r="A39" s="57">
        <v>3</v>
      </c>
      <c r="B39" s="6" t="s">
        <v>110</v>
      </c>
      <c r="C39" s="6" t="s">
        <v>111</v>
      </c>
      <c r="D39" s="6" t="s">
        <v>112</v>
      </c>
      <c r="E39" s="6" t="s">
        <v>113</v>
      </c>
      <c r="F39" s="8">
        <v>0</v>
      </c>
      <c r="G39" s="8">
        <v>0</v>
      </c>
      <c r="H39" s="8">
        <v>1</v>
      </c>
      <c r="I39" s="9">
        <v>0</v>
      </c>
      <c r="J39" s="10">
        <v>5</v>
      </c>
      <c r="K39" s="10">
        <v>0</v>
      </c>
      <c r="L39" s="10">
        <v>3</v>
      </c>
      <c r="M39" s="15">
        <v>1</v>
      </c>
      <c r="N39" s="15">
        <v>0</v>
      </c>
      <c r="O39" s="15">
        <v>0</v>
      </c>
      <c r="P39" s="15">
        <v>0</v>
      </c>
      <c r="Q39" s="9">
        <v>0</v>
      </c>
      <c r="R39" s="15">
        <v>0</v>
      </c>
      <c r="S39" s="15">
        <v>5</v>
      </c>
      <c r="T39" s="15">
        <v>40</v>
      </c>
      <c r="U39" s="15">
        <v>0</v>
      </c>
      <c r="V39" s="15">
        <v>1</v>
      </c>
      <c r="W39" s="15">
        <v>14</v>
      </c>
      <c r="X39" s="15">
        <f t="shared" si="2"/>
        <v>70</v>
      </c>
      <c r="Z39" s="17" t="s">
        <v>15</v>
      </c>
      <c r="AA39" s="18" t="s">
        <v>19</v>
      </c>
      <c r="AB39" s="19">
        <v>2</v>
      </c>
      <c r="AD39" s="38" t="s">
        <v>16</v>
      </c>
      <c r="AE39" s="21" t="s">
        <v>19</v>
      </c>
      <c r="AF39" s="22">
        <v>4</v>
      </c>
    </row>
    <row r="40" spans="1:36" ht="26.25" x14ac:dyDescent="0.25">
      <c r="A40" s="59">
        <v>4</v>
      </c>
      <c r="B40" s="6" t="s">
        <v>114</v>
      </c>
      <c r="C40" s="6" t="s">
        <v>115</v>
      </c>
      <c r="D40" s="6" t="s">
        <v>116</v>
      </c>
      <c r="E40" s="6" t="s">
        <v>117</v>
      </c>
      <c r="F40" s="8">
        <v>0</v>
      </c>
      <c r="G40" s="8">
        <v>0</v>
      </c>
      <c r="H40" s="8">
        <v>1</v>
      </c>
      <c r="I40" s="9">
        <v>0</v>
      </c>
      <c r="J40" s="10">
        <v>2</v>
      </c>
      <c r="K40" s="10">
        <v>0</v>
      </c>
      <c r="L40" s="10">
        <v>0</v>
      </c>
      <c r="M40" s="15">
        <v>0</v>
      </c>
      <c r="N40" s="15">
        <v>0</v>
      </c>
      <c r="O40" s="15">
        <v>0</v>
      </c>
      <c r="P40" s="15">
        <v>0</v>
      </c>
      <c r="Q40" s="9">
        <v>0</v>
      </c>
      <c r="R40" s="15">
        <v>0</v>
      </c>
      <c r="S40" s="15">
        <v>1</v>
      </c>
      <c r="T40" s="15">
        <v>9</v>
      </c>
      <c r="U40" s="15">
        <v>0</v>
      </c>
      <c r="V40" s="15">
        <v>0</v>
      </c>
      <c r="W40" s="15">
        <v>8</v>
      </c>
      <c r="X40" s="15">
        <f t="shared" si="2"/>
        <v>21</v>
      </c>
      <c r="Z40" s="23"/>
      <c r="AA40" s="18" t="s">
        <v>17</v>
      </c>
      <c r="AB40" s="19">
        <v>19</v>
      </c>
      <c r="AD40" s="23"/>
      <c r="AE40" s="18" t="s">
        <v>17</v>
      </c>
      <c r="AF40" s="19">
        <v>5</v>
      </c>
    </row>
    <row r="41" spans="1:36" ht="26.25" x14ac:dyDescent="0.25">
      <c r="A41" s="59">
        <v>5</v>
      </c>
      <c r="B41" s="6" t="s">
        <v>118</v>
      </c>
      <c r="C41" s="6" t="s">
        <v>119</v>
      </c>
      <c r="D41" s="6" t="s">
        <v>25</v>
      </c>
      <c r="E41" s="6" t="s">
        <v>120</v>
      </c>
      <c r="F41" s="8">
        <v>0</v>
      </c>
      <c r="G41" s="8">
        <v>0</v>
      </c>
      <c r="H41" s="8">
        <v>1</v>
      </c>
      <c r="I41" s="9">
        <v>0</v>
      </c>
      <c r="J41" s="10">
        <v>0</v>
      </c>
      <c r="K41" s="10">
        <v>0</v>
      </c>
      <c r="L41" s="10">
        <v>0</v>
      </c>
      <c r="M41" s="15">
        <v>0</v>
      </c>
      <c r="N41" s="15">
        <v>0</v>
      </c>
      <c r="O41" s="15">
        <v>0</v>
      </c>
      <c r="P41" s="15">
        <v>0</v>
      </c>
      <c r="Q41" s="9">
        <v>0</v>
      </c>
      <c r="R41" s="15">
        <v>0</v>
      </c>
      <c r="S41" s="15">
        <v>0</v>
      </c>
      <c r="T41" s="15">
        <v>13</v>
      </c>
      <c r="U41" s="15">
        <v>0</v>
      </c>
      <c r="V41" s="15">
        <v>0</v>
      </c>
      <c r="W41" s="15">
        <v>4</v>
      </c>
      <c r="X41" s="15">
        <f t="shared" si="2"/>
        <v>18</v>
      </c>
      <c r="Z41" s="23"/>
      <c r="AA41" s="18" t="s">
        <v>41</v>
      </c>
      <c r="AB41" s="19">
        <v>259</v>
      </c>
      <c r="AD41" s="23"/>
      <c r="AE41" s="18" t="s">
        <v>41</v>
      </c>
      <c r="AF41" s="19">
        <v>110</v>
      </c>
    </row>
    <row r="42" spans="1:36" ht="26.25" x14ac:dyDescent="0.25">
      <c r="A42" s="59">
        <v>6</v>
      </c>
      <c r="B42" s="6" t="s">
        <v>121</v>
      </c>
      <c r="C42" s="6" t="s">
        <v>122</v>
      </c>
      <c r="D42" s="6" t="s">
        <v>123</v>
      </c>
      <c r="E42" s="6" t="s">
        <v>124</v>
      </c>
      <c r="F42" s="8">
        <v>0</v>
      </c>
      <c r="G42" s="8">
        <v>0</v>
      </c>
      <c r="H42" s="8">
        <v>1</v>
      </c>
      <c r="I42" s="9">
        <v>0</v>
      </c>
      <c r="J42" s="10">
        <v>0</v>
      </c>
      <c r="K42" s="10">
        <v>0</v>
      </c>
      <c r="L42" s="10">
        <v>0</v>
      </c>
      <c r="M42" s="15">
        <v>4</v>
      </c>
      <c r="N42" s="15">
        <v>0</v>
      </c>
      <c r="O42" s="15">
        <v>2</v>
      </c>
      <c r="P42" s="15">
        <v>1</v>
      </c>
      <c r="Q42" s="9">
        <v>0</v>
      </c>
      <c r="R42" s="15">
        <v>0</v>
      </c>
      <c r="S42" s="15">
        <v>0</v>
      </c>
      <c r="T42" s="15">
        <v>36</v>
      </c>
      <c r="U42" s="15">
        <v>1</v>
      </c>
      <c r="V42" s="15">
        <v>0</v>
      </c>
      <c r="W42" s="15">
        <v>4</v>
      </c>
      <c r="X42" s="15">
        <f t="shared" si="2"/>
        <v>49</v>
      </c>
      <c r="Z42" s="24"/>
      <c r="AA42" s="18" t="s">
        <v>8</v>
      </c>
      <c r="AB42" s="19">
        <v>1</v>
      </c>
    </row>
    <row r="43" spans="1:36" ht="23.25" x14ac:dyDescent="0.25">
      <c r="A43" s="59">
        <v>7</v>
      </c>
      <c r="B43" s="29" t="s">
        <v>125</v>
      </c>
      <c r="C43" s="29" t="s">
        <v>126</v>
      </c>
      <c r="D43" s="29" t="s">
        <v>99</v>
      </c>
      <c r="E43" s="29" t="s">
        <v>127</v>
      </c>
      <c r="F43" s="31">
        <v>1</v>
      </c>
      <c r="G43" s="31">
        <v>0</v>
      </c>
      <c r="H43" s="31">
        <v>0</v>
      </c>
      <c r="I43" s="30">
        <v>0</v>
      </c>
      <c r="J43" s="40">
        <v>0</v>
      </c>
      <c r="K43" s="40">
        <v>0</v>
      </c>
      <c r="L43" s="40">
        <v>0</v>
      </c>
      <c r="M43" s="41">
        <v>1</v>
      </c>
      <c r="N43" s="41">
        <v>0</v>
      </c>
      <c r="O43" s="41">
        <v>0</v>
      </c>
      <c r="P43" s="41">
        <v>0</v>
      </c>
      <c r="Q43" s="30">
        <v>0</v>
      </c>
      <c r="R43" s="41">
        <v>0</v>
      </c>
      <c r="S43" s="41">
        <v>1</v>
      </c>
      <c r="T43" s="41">
        <v>30</v>
      </c>
      <c r="U43" s="41">
        <v>0</v>
      </c>
      <c r="V43" s="41">
        <v>0</v>
      </c>
      <c r="W43" s="41">
        <v>0</v>
      </c>
      <c r="X43" s="41">
        <f t="shared" si="2"/>
        <v>33</v>
      </c>
    </row>
    <row r="44" spans="1:36" ht="23.25" x14ac:dyDescent="0.25">
      <c r="B44" s="34" t="s">
        <v>102</v>
      </c>
      <c r="C44" s="24"/>
      <c r="D44" s="24"/>
      <c r="E44" s="24"/>
      <c r="F44" s="42">
        <f>SUM(F37:F43)</f>
        <v>2</v>
      </c>
      <c r="G44" s="42">
        <f t="shared" ref="G44:X44" si="3">SUM(G37:G43)</f>
        <v>1</v>
      </c>
      <c r="H44" s="42">
        <f t="shared" si="3"/>
        <v>4</v>
      </c>
      <c r="I44" s="42">
        <f t="shared" si="3"/>
        <v>0</v>
      </c>
      <c r="J44" s="42">
        <f t="shared" si="3"/>
        <v>12</v>
      </c>
      <c r="K44" s="42">
        <f t="shared" si="3"/>
        <v>1</v>
      </c>
      <c r="L44" s="42">
        <f t="shared" si="3"/>
        <v>5</v>
      </c>
      <c r="M44" s="42">
        <f t="shared" si="3"/>
        <v>15</v>
      </c>
      <c r="N44" s="42">
        <f t="shared" si="3"/>
        <v>1</v>
      </c>
      <c r="O44" s="42">
        <f t="shared" si="3"/>
        <v>3</v>
      </c>
      <c r="P44" s="42">
        <f t="shared" si="3"/>
        <v>5</v>
      </c>
      <c r="Q44" s="42">
        <f t="shared" si="3"/>
        <v>1</v>
      </c>
      <c r="R44" s="42">
        <f t="shared" si="3"/>
        <v>0</v>
      </c>
      <c r="S44" s="42">
        <f t="shared" si="3"/>
        <v>10</v>
      </c>
      <c r="T44" s="42">
        <f t="shared" si="3"/>
        <v>232</v>
      </c>
      <c r="U44" s="42">
        <f t="shared" si="3"/>
        <v>2</v>
      </c>
      <c r="V44" s="42">
        <f t="shared" si="3"/>
        <v>2</v>
      </c>
      <c r="W44" s="42">
        <f t="shared" si="3"/>
        <v>104</v>
      </c>
      <c r="X44" s="42">
        <f t="shared" si="3"/>
        <v>400</v>
      </c>
      <c r="AB44" s="16"/>
    </row>
    <row r="49" spans="1:32" x14ac:dyDescent="0.25">
      <c r="A49" s="179" t="s">
        <v>143</v>
      </c>
      <c r="B49" s="179"/>
      <c r="C49" s="179"/>
      <c r="D49" s="179"/>
      <c r="E49" s="179"/>
      <c r="F49" s="179"/>
      <c r="G49" s="179"/>
      <c r="H49" s="179"/>
      <c r="I49" s="179"/>
      <c r="J49" s="179"/>
      <c r="K49" s="179"/>
      <c r="L49" s="179"/>
      <c r="M49" s="179"/>
      <c r="N49" s="179"/>
      <c r="O49" s="179"/>
      <c r="P49" s="179"/>
      <c r="Q49" s="179"/>
      <c r="R49" s="179"/>
      <c r="S49" s="179"/>
      <c r="T49" s="179"/>
      <c r="U49" s="179"/>
      <c r="V49" s="179"/>
      <c r="W49" s="179"/>
      <c r="X49" s="179"/>
    </row>
    <row r="50" spans="1:32" x14ac:dyDescent="0.25">
      <c r="A50" s="179"/>
      <c r="B50" s="179"/>
      <c r="C50" s="179"/>
      <c r="D50" s="179"/>
      <c r="E50" s="179"/>
      <c r="F50" s="179"/>
      <c r="G50" s="179"/>
      <c r="H50" s="179"/>
      <c r="I50" s="179"/>
      <c r="J50" s="179"/>
      <c r="K50" s="179"/>
      <c r="L50" s="179"/>
      <c r="M50" s="179"/>
      <c r="N50" s="179"/>
      <c r="O50" s="179"/>
      <c r="P50" s="179"/>
      <c r="Q50" s="179"/>
      <c r="R50" s="179"/>
      <c r="S50" s="179"/>
      <c r="T50" s="179"/>
      <c r="U50" s="179"/>
      <c r="V50" s="179"/>
      <c r="W50" s="179"/>
      <c r="X50" s="179"/>
    </row>
    <row r="51" spans="1:32" ht="23.25" x14ac:dyDescent="0.25">
      <c r="A51" s="6">
        <v>1</v>
      </c>
      <c r="B51" s="6" t="s">
        <v>128</v>
      </c>
      <c r="C51" s="7" t="s">
        <v>129</v>
      </c>
      <c r="D51" s="54" t="s">
        <v>130</v>
      </c>
      <c r="E51" s="8" t="s">
        <v>131</v>
      </c>
      <c r="F51" s="8">
        <v>1</v>
      </c>
      <c r="G51" s="9">
        <v>0</v>
      </c>
      <c r="H51" s="10">
        <v>0</v>
      </c>
      <c r="I51" s="10">
        <v>0</v>
      </c>
      <c r="J51" s="6">
        <v>0</v>
      </c>
      <c r="K51" s="6">
        <v>0</v>
      </c>
      <c r="L51" s="7">
        <v>2</v>
      </c>
      <c r="M51" s="8">
        <v>1</v>
      </c>
      <c r="N51" s="8">
        <v>0</v>
      </c>
      <c r="O51" s="8">
        <v>2</v>
      </c>
      <c r="P51" s="9">
        <v>0</v>
      </c>
      <c r="Q51" s="10">
        <v>0</v>
      </c>
      <c r="R51" s="10">
        <v>0</v>
      </c>
      <c r="S51" s="6">
        <v>14</v>
      </c>
      <c r="T51" s="6">
        <v>31</v>
      </c>
      <c r="U51" s="7">
        <v>0</v>
      </c>
      <c r="V51" s="8">
        <v>12</v>
      </c>
      <c r="W51" s="8">
        <v>29</v>
      </c>
      <c r="X51" s="9">
        <f>SUM(F51:W51)</f>
        <v>92</v>
      </c>
      <c r="Z51" s="201" t="s">
        <v>132</v>
      </c>
      <c r="AA51" s="201"/>
      <c r="AB51" s="201"/>
      <c r="AD51" s="201" t="s">
        <v>132</v>
      </c>
      <c r="AE51" s="201"/>
      <c r="AF51" s="201"/>
    </row>
    <row r="52" spans="1:32" ht="26.25" x14ac:dyDescent="0.25">
      <c r="A52" s="6">
        <v>2</v>
      </c>
      <c r="B52" s="6" t="s">
        <v>133</v>
      </c>
      <c r="C52" s="7" t="s">
        <v>134</v>
      </c>
      <c r="D52" s="54" t="s">
        <v>44</v>
      </c>
      <c r="E52" s="8" t="s">
        <v>135</v>
      </c>
      <c r="F52" s="8">
        <v>0</v>
      </c>
      <c r="G52" s="9">
        <v>0</v>
      </c>
      <c r="H52" s="10">
        <v>1</v>
      </c>
      <c r="I52" s="10">
        <v>0</v>
      </c>
      <c r="J52" s="6">
        <v>0</v>
      </c>
      <c r="K52" s="6">
        <v>0</v>
      </c>
      <c r="L52" s="7">
        <v>0</v>
      </c>
      <c r="M52" s="8">
        <v>0</v>
      </c>
      <c r="N52" s="8">
        <v>0</v>
      </c>
      <c r="O52" s="8">
        <v>0</v>
      </c>
      <c r="P52" s="9">
        <v>0</v>
      </c>
      <c r="Q52" s="10">
        <v>0</v>
      </c>
      <c r="R52" s="10">
        <v>0</v>
      </c>
      <c r="S52" s="6">
        <v>0</v>
      </c>
      <c r="T52" s="6">
        <v>32</v>
      </c>
      <c r="U52" s="7">
        <v>0</v>
      </c>
      <c r="V52" s="8">
        <v>0</v>
      </c>
      <c r="W52" s="8">
        <v>0</v>
      </c>
      <c r="X52" s="9">
        <f t="shared" ref="X52:X53" si="4">SUM(C52:W52)</f>
        <v>33</v>
      </c>
      <c r="Z52" s="17" t="s">
        <v>15</v>
      </c>
      <c r="AA52" s="18" t="s">
        <v>19</v>
      </c>
      <c r="AB52" s="19">
        <f>(F54+R54)</f>
        <v>2</v>
      </c>
      <c r="AD52" s="38" t="s">
        <v>16</v>
      </c>
      <c r="AE52" s="21" t="s">
        <v>19</v>
      </c>
      <c r="AF52" s="22">
        <f>(G54+N54+U54)</f>
        <v>0</v>
      </c>
    </row>
    <row r="53" spans="1:32" ht="26.25" x14ac:dyDescent="0.25">
      <c r="A53" s="58">
        <v>3</v>
      </c>
      <c r="B53" s="29" t="s">
        <v>136</v>
      </c>
      <c r="C53" s="39" t="s">
        <v>137</v>
      </c>
      <c r="D53" s="55" t="s">
        <v>138</v>
      </c>
      <c r="E53" s="31" t="s">
        <v>139</v>
      </c>
      <c r="F53" s="31">
        <v>1</v>
      </c>
      <c r="G53" s="30">
        <v>0</v>
      </c>
      <c r="H53" s="40">
        <v>0</v>
      </c>
      <c r="I53" s="40">
        <v>0</v>
      </c>
      <c r="J53" s="29">
        <v>2</v>
      </c>
      <c r="K53" s="29">
        <v>0</v>
      </c>
      <c r="L53" s="39">
        <v>1</v>
      </c>
      <c r="M53" s="31">
        <v>2</v>
      </c>
      <c r="N53" s="31">
        <v>0</v>
      </c>
      <c r="O53" s="31">
        <v>0</v>
      </c>
      <c r="P53" s="30">
        <v>1</v>
      </c>
      <c r="Q53" s="40">
        <v>0</v>
      </c>
      <c r="R53" s="40">
        <v>0</v>
      </c>
      <c r="S53" s="29">
        <v>1</v>
      </c>
      <c r="T53" s="29">
        <v>11</v>
      </c>
      <c r="U53" s="39">
        <v>0</v>
      </c>
      <c r="V53" s="31">
        <v>0</v>
      </c>
      <c r="W53" s="31">
        <v>2</v>
      </c>
      <c r="X53" s="30">
        <f t="shared" si="4"/>
        <v>21</v>
      </c>
      <c r="Z53" s="23"/>
      <c r="AA53" s="18" t="s">
        <v>17</v>
      </c>
      <c r="AB53" s="19">
        <f>(H54+L54+S54)</f>
        <v>19</v>
      </c>
      <c r="AD53" s="23"/>
      <c r="AE53" s="18" t="s">
        <v>17</v>
      </c>
      <c r="AF53" s="19">
        <f>(I54+O54+V54)</f>
        <v>14</v>
      </c>
    </row>
    <row r="54" spans="1:32" ht="26.25" x14ac:dyDescent="0.25">
      <c r="A54" s="26"/>
      <c r="B54" s="26" t="s">
        <v>102</v>
      </c>
      <c r="C54" s="26"/>
      <c r="D54" s="9"/>
      <c r="E54" s="9"/>
      <c r="F54" s="36">
        <f>SUM(F51:F53)</f>
        <v>2</v>
      </c>
      <c r="G54" s="36">
        <f t="shared" ref="G54:X54" si="5">SUM(G51:G53)</f>
        <v>0</v>
      </c>
      <c r="H54" s="36">
        <f t="shared" si="5"/>
        <v>1</v>
      </c>
      <c r="I54" s="36">
        <f t="shared" si="5"/>
        <v>0</v>
      </c>
      <c r="J54" s="36">
        <f t="shared" si="5"/>
        <v>2</v>
      </c>
      <c r="K54" s="36">
        <f t="shared" si="5"/>
        <v>0</v>
      </c>
      <c r="L54" s="36">
        <f t="shared" si="5"/>
        <v>3</v>
      </c>
      <c r="M54" s="36">
        <f t="shared" si="5"/>
        <v>3</v>
      </c>
      <c r="N54" s="36">
        <f t="shared" si="5"/>
        <v>0</v>
      </c>
      <c r="O54" s="36">
        <f t="shared" si="5"/>
        <v>2</v>
      </c>
      <c r="P54" s="36">
        <f t="shared" si="5"/>
        <v>1</v>
      </c>
      <c r="Q54" s="36">
        <f t="shared" si="5"/>
        <v>0</v>
      </c>
      <c r="R54" s="36">
        <f t="shared" si="5"/>
        <v>0</v>
      </c>
      <c r="S54" s="36">
        <f t="shared" si="5"/>
        <v>15</v>
      </c>
      <c r="T54" s="36">
        <f t="shared" si="5"/>
        <v>74</v>
      </c>
      <c r="U54" s="36">
        <f t="shared" si="5"/>
        <v>0</v>
      </c>
      <c r="V54" s="36">
        <f t="shared" si="5"/>
        <v>12</v>
      </c>
      <c r="W54" s="36">
        <f t="shared" si="5"/>
        <v>31</v>
      </c>
      <c r="X54" s="36">
        <f t="shared" si="5"/>
        <v>146</v>
      </c>
      <c r="Z54" s="23"/>
      <c r="AA54" s="18" t="s">
        <v>41</v>
      </c>
      <c r="AB54" s="19">
        <f>(J54+M54+T54)</f>
        <v>79</v>
      </c>
      <c r="AD54" s="23"/>
      <c r="AE54" s="18" t="s">
        <v>41</v>
      </c>
      <c r="AF54" s="19">
        <f>(K54+P54+W54)</f>
        <v>32</v>
      </c>
    </row>
    <row r="55" spans="1:32" ht="28.5" x14ac:dyDescent="0.25">
      <c r="A55" s="43"/>
      <c r="B55" s="44" t="s">
        <v>140</v>
      </c>
      <c r="C55" s="43"/>
      <c r="D55" s="45"/>
      <c r="E55" s="45"/>
      <c r="F55" s="46">
        <f>(F29+F44+F54)</f>
        <v>11</v>
      </c>
      <c r="G55" s="46">
        <f t="shared" ref="G55:X55" si="6">(G29+G44+G54)</f>
        <v>2</v>
      </c>
      <c r="H55" s="46">
        <f t="shared" si="6"/>
        <v>20</v>
      </c>
      <c r="I55" s="46">
        <f t="shared" si="6"/>
        <v>1</v>
      </c>
      <c r="J55" s="46">
        <f t="shared" si="6"/>
        <v>55</v>
      </c>
      <c r="K55" s="46">
        <f t="shared" si="6"/>
        <v>4</v>
      </c>
      <c r="L55" s="46">
        <f t="shared" si="6"/>
        <v>22</v>
      </c>
      <c r="M55" s="46">
        <f t="shared" si="6"/>
        <v>57</v>
      </c>
      <c r="N55" s="46">
        <f t="shared" si="6"/>
        <v>1</v>
      </c>
      <c r="O55" s="46">
        <f t="shared" si="6"/>
        <v>9</v>
      </c>
      <c r="P55" s="46">
        <f t="shared" si="6"/>
        <v>8</v>
      </c>
      <c r="Q55" s="46">
        <f t="shared" si="6"/>
        <v>2</v>
      </c>
      <c r="R55" s="46">
        <f t="shared" si="6"/>
        <v>1</v>
      </c>
      <c r="S55" s="46">
        <f t="shared" si="6"/>
        <v>48</v>
      </c>
      <c r="T55" s="46">
        <f t="shared" si="6"/>
        <v>836</v>
      </c>
      <c r="U55" s="46">
        <f t="shared" si="6"/>
        <v>2</v>
      </c>
      <c r="V55" s="46">
        <f t="shared" si="6"/>
        <v>31</v>
      </c>
      <c r="W55" s="46">
        <f t="shared" si="6"/>
        <v>435</v>
      </c>
      <c r="X55" s="46">
        <f t="shared" si="6"/>
        <v>1545</v>
      </c>
      <c r="Z55" s="24"/>
      <c r="AA55" s="18" t="s">
        <v>46</v>
      </c>
      <c r="AB55" s="19">
        <v>0</v>
      </c>
    </row>
    <row r="56" spans="1:32" ht="28.5" x14ac:dyDescent="0.45">
      <c r="A56" s="43"/>
      <c r="F56" s="47"/>
      <c r="G56" s="47"/>
      <c r="H56" s="47"/>
      <c r="I56" s="47"/>
      <c r="J56" s="47"/>
      <c r="K56" s="47"/>
      <c r="L56" s="47"/>
      <c r="M56" s="47"/>
      <c r="N56" s="47"/>
      <c r="O56" s="47"/>
      <c r="P56" s="47"/>
      <c r="Q56" s="47"/>
      <c r="R56" s="47"/>
      <c r="S56" s="47"/>
      <c r="T56" s="47"/>
      <c r="U56" s="47"/>
      <c r="V56" s="47"/>
      <c r="W56" s="47"/>
      <c r="X56" s="47"/>
    </row>
    <row r="57" spans="1:32" ht="21" x14ac:dyDescent="0.25">
      <c r="A57" s="43"/>
    </row>
    <row r="58" spans="1:32" ht="23.25" x14ac:dyDescent="0.25">
      <c r="A58" s="43"/>
      <c r="B58" s="43"/>
      <c r="C58" s="43"/>
      <c r="D58" s="45"/>
      <c r="E58" s="45"/>
      <c r="F58" s="45"/>
      <c r="G58" s="45"/>
      <c r="H58" s="45"/>
      <c r="I58" s="45"/>
      <c r="J58" s="43"/>
      <c r="K58" s="43"/>
      <c r="L58" s="43"/>
      <c r="M58" s="45"/>
      <c r="N58" s="45"/>
      <c r="O58" s="45"/>
      <c r="P58" s="45"/>
      <c r="Q58" s="45"/>
      <c r="R58" s="45"/>
      <c r="S58" s="43"/>
      <c r="T58" s="43"/>
      <c r="U58" s="43"/>
      <c r="V58" s="45"/>
      <c r="W58" s="45"/>
      <c r="X58" s="45"/>
    </row>
    <row r="60" spans="1:32" ht="21" x14ac:dyDescent="0.25">
      <c r="D60" s="88"/>
      <c r="E60" s="88" t="s">
        <v>188</v>
      </c>
      <c r="F60" s="88"/>
      <c r="G60" s="88"/>
    </row>
    <row r="61" spans="1:32" ht="21" x14ac:dyDescent="0.25">
      <c r="D61" s="88"/>
      <c r="E61" s="88" t="s">
        <v>15</v>
      </c>
      <c r="F61" s="88" t="s">
        <v>16</v>
      </c>
      <c r="G61" s="88" t="s">
        <v>167</v>
      </c>
    </row>
    <row r="62" spans="1:32" ht="21" x14ac:dyDescent="0.25">
      <c r="D62" s="19" t="s">
        <v>19</v>
      </c>
      <c r="E62" s="88">
        <v>13</v>
      </c>
      <c r="F62" s="88">
        <v>5</v>
      </c>
      <c r="G62" s="88">
        <f>SUM(E62:F62)</f>
        <v>18</v>
      </c>
    </row>
    <row r="63" spans="1:32" ht="21" x14ac:dyDescent="0.25">
      <c r="D63" s="19" t="s">
        <v>17</v>
      </c>
      <c r="E63" s="88">
        <v>90</v>
      </c>
      <c r="F63" s="88">
        <v>41</v>
      </c>
      <c r="G63" s="88">
        <f t="shared" ref="G63:G65" si="7">SUM(E63:F63)</f>
        <v>131</v>
      </c>
    </row>
    <row r="64" spans="1:32" ht="21" x14ac:dyDescent="0.25">
      <c r="D64" s="19" t="s">
        <v>41</v>
      </c>
      <c r="E64" s="88">
        <v>1010</v>
      </c>
      <c r="F64" s="88">
        <v>485</v>
      </c>
      <c r="G64" s="88">
        <f t="shared" si="7"/>
        <v>1495</v>
      </c>
    </row>
    <row r="65" spans="4:7" ht="21" x14ac:dyDescent="0.25">
      <c r="D65" s="19" t="s">
        <v>46</v>
      </c>
      <c r="E65" s="88">
        <v>2</v>
      </c>
      <c r="F65" s="88">
        <v>0</v>
      </c>
      <c r="G65" s="88">
        <f t="shared" si="7"/>
        <v>2</v>
      </c>
    </row>
    <row r="66" spans="4:7" ht="21" x14ac:dyDescent="0.25">
      <c r="D66" s="88" t="s">
        <v>167</v>
      </c>
      <c r="E66" s="88">
        <f>SUM(E62:E65)</f>
        <v>1115</v>
      </c>
      <c r="F66" s="88">
        <f t="shared" ref="F66:G66" si="8">SUM(F62:F65)</f>
        <v>531</v>
      </c>
      <c r="G66" s="88">
        <f t="shared" si="8"/>
        <v>1646</v>
      </c>
    </row>
  </sheetData>
  <mergeCells count="22">
    <mergeCell ref="Z51:AB51"/>
    <mergeCell ref="AD51:AF51"/>
    <mergeCell ref="Z5:AB5"/>
    <mergeCell ref="AD5:AF5"/>
    <mergeCell ref="Z38:AB38"/>
    <mergeCell ref="AD38:AF38"/>
    <mergeCell ref="A49:X50"/>
    <mergeCell ref="A35:X36"/>
    <mergeCell ref="A1:X1"/>
    <mergeCell ref="A2:A3"/>
    <mergeCell ref="B2:B3"/>
    <mergeCell ref="C2:E2"/>
    <mergeCell ref="F2:G2"/>
    <mergeCell ref="H2:I2"/>
    <mergeCell ref="J2:K2"/>
    <mergeCell ref="L2:M2"/>
    <mergeCell ref="N2:P2"/>
    <mergeCell ref="Q2:Q3"/>
    <mergeCell ref="R2:T2"/>
    <mergeCell ref="U2:W2"/>
    <mergeCell ref="X2:X3"/>
    <mergeCell ref="A32:X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6A030-F37B-42EE-B337-96A3D69950D7}">
  <dimension ref="A1:AK60"/>
  <sheetViews>
    <sheetView topLeftCell="A19" zoomScale="70" zoomScaleNormal="70" workbookViewId="0">
      <selection activeCell="C22" sqref="C22:E22"/>
    </sheetView>
  </sheetViews>
  <sheetFormatPr defaultRowHeight="15" x14ac:dyDescent="0.25"/>
  <cols>
    <col min="1" max="1" width="10.28515625" bestFit="1" customWidth="1"/>
    <col min="2" max="2" width="36.85546875" bestFit="1" customWidth="1"/>
    <col min="3" max="3" width="36.140625" bestFit="1" customWidth="1"/>
    <col min="4" max="4" width="32.7109375" bestFit="1" customWidth="1"/>
    <col min="5" max="5" width="18.85546875" bestFit="1" customWidth="1"/>
    <col min="6" max="6" width="8.5703125" bestFit="1" customWidth="1"/>
    <col min="7" max="7" width="11.7109375" bestFit="1" customWidth="1"/>
    <col min="8" max="8" width="10.85546875" customWidth="1"/>
    <col min="9" max="9" width="11.7109375" bestFit="1" customWidth="1"/>
    <col min="10" max="10" width="8.5703125" bestFit="1" customWidth="1"/>
    <col min="11" max="11" width="16.28515625" customWidth="1"/>
    <col min="12" max="12" width="8" customWidth="1"/>
    <col min="13" max="13" width="15.140625" customWidth="1"/>
    <col min="14" max="14" width="9.5703125" customWidth="1"/>
    <col min="15" max="15" width="7.5703125" customWidth="1"/>
    <col min="16" max="16" width="7.85546875" customWidth="1"/>
    <col min="17" max="17" width="5.5703125" bestFit="1" customWidth="1"/>
    <col min="18" max="18" width="7.140625" bestFit="1" customWidth="1"/>
    <col min="19" max="19" width="6.5703125" bestFit="1" customWidth="1"/>
    <col min="20" max="20" width="10.140625" customWidth="1"/>
    <col min="21" max="21" width="7.140625" bestFit="1" customWidth="1"/>
    <col min="22" max="22" width="6.5703125" bestFit="1" customWidth="1"/>
    <col min="23" max="23" width="10.5703125" customWidth="1"/>
    <col min="24" max="24" width="21.7109375" bestFit="1" customWidth="1"/>
    <col min="25" max="25" width="30.85546875" customWidth="1"/>
    <col min="27" max="27" width="15.7109375" customWidth="1"/>
    <col min="31" max="31" width="13.140625" customWidth="1"/>
    <col min="33" max="33" width="11.7109375" customWidth="1"/>
  </cols>
  <sheetData>
    <row r="1" spans="1:37" ht="42" customHeight="1" x14ac:dyDescent="0.5">
      <c r="A1" s="180" t="s">
        <v>141</v>
      </c>
      <c r="B1" s="180"/>
      <c r="C1" s="180"/>
      <c r="D1" s="180"/>
      <c r="E1" s="180"/>
      <c r="F1" s="180"/>
      <c r="G1" s="180"/>
      <c r="H1" s="180"/>
      <c r="I1" s="180"/>
      <c r="J1" s="180"/>
      <c r="K1" s="180"/>
      <c r="L1" s="180"/>
      <c r="M1" s="180"/>
      <c r="N1" s="180"/>
      <c r="O1" s="180"/>
      <c r="P1" s="180"/>
      <c r="Q1" s="180"/>
      <c r="R1" s="180"/>
      <c r="S1" s="180"/>
      <c r="T1" s="180"/>
      <c r="U1" s="180"/>
      <c r="V1" s="180"/>
      <c r="W1" s="180"/>
      <c r="X1" s="180"/>
      <c r="Y1" s="62" t="s">
        <v>181</v>
      </c>
    </row>
    <row r="2" spans="1:37" ht="23.25" x14ac:dyDescent="0.35">
      <c r="A2" s="181" t="s">
        <v>0</v>
      </c>
      <c r="B2" s="183" t="s">
        <v>1</v>
      </c>
      <c r="C2" s="185" t="s">
        <v>2</v>
      </c>
      <c r="D2" s="186"/>
      <c r="E2" s="186"/>
      <c r="F2" s="187" t="s">
        <v>3</v>
      </c>
      <c r="G2" s="188"/>
      <c r="H2" s="187" t="s">
        <v>4</v>
      </c>
      <c r="I2" s="188"/>
      <c r="J2" s="189" t="s">
        <v>5</v>
      </c>
      <c r="K2" s="190"/>
      <c r="L2" s="191" t="s">
        <v>6</v>
      </c>
      <c r="M2" s="192"/>
      <c r="N2" s="192" t="s">
        <v>7</v>
      </c>
      <c r="O2" s="192"/>
      <c r="P2" s="193"/>
      <c r="Q2" s="194" t="s">
        <v>8</v>
      </c>
      <c r="R2" s="196" t="s">
        <v>9</v>
      </c>
      <c r="S2" s="197"/>
      <c r="T2" s="198"/>
      <c r="U2" s="196" t="s">
        <v>10</v>
      </c>
      <c r="V2" s="197"/>
      <c r="W2" s="198"/>
      <c r="X2" s="199" t="s">
        <v>11</v>
      </c>
      <c r="Y2" s="64"/>
    </row>
    <row r="3" spans="1:37" ht="23.25" x14ac:dyDescent="0.35">
      <c r="A3" s="182"/>
      <c r="B3" s="184"/>
      <c r="C3" s="2" t="s">
        <v>12</v>
      </c>
      <c r="D3" s="2" t="s">
        <v>13</v>
      </c>
      <c r="E3" s="1" t="s">
        <v>14</v>
      </c>
      <c r="F3" s="1" t="s">
        <v>15</v>
      </c>
      <c r="G3" s="1" t="s">
        <v>16</v>
      </c>
      <c r="H3" s="2" t="s">
        <v>15</v>
      </c>
      <c r="I3" s="1" t="s">
        <v>16</v>
      </c>
      <c r="J3" s="2" t="s">
        <v>15</v>
      </c>
      <c r="K3" s="2" t="s">
        <v>16</v>
      </c>
      <c r="L3" s="2" t="s">
        <v>17</v>
      </c>
      <c r="M3" s="3" t="s">
        <v>18</v>
      </c>
      <c r="N3" s="3" t="s">
        <v>19</v>
      </c>
      <c r="O3" s="2" t="s">
        <v>17</v>
      </c>
      <c r="P3" s="2" t="s">
        <v>18</v>
      </c>
      <c r="Q3" s="195"/>
      <c r="R3" s="4" t="s">
        <v>20</v>
      </c>
      <c r="S3" s="5" t="s">
        <v>21</v>
      </c>
      <c r="T3" s="5" t="s">
        <v>22</v>
      </c>
      <c r="U3" s="5" t="s">
        <v>20</v>
      </c>
      <c r="V3" s="5" t="s">
        <v>21</v>
      </c>
      <c r="W3" s="5" t="s">
        <v>22</v>
      </c>
      <c r="X3" s="200"/>
      <c r="Y3" s="67"/>
    </row>
    <row r="4" spans="1:37" ht="23.25" x14ac:dyDescent="0.25">
      <c r="A4" s="57">
        <v>1</v>
      </c>
      <c r="B4" s="6" t="s">
        <v>23</v>
      </c>
      <c r="C4" s="6" t="s">
        <v>24</v>
      </c>
      <c r="D4" s="6" t="s">
        <v>25</v>
      </c>
      <c r="E4" s="7" t="s">
        <v>26</v>
      </c>
      <c r="F4" s="8">
        <v>0</v>
      </c>
      <c r="G4" s="8">
        <v>0</v>
      </c>
      <c r="H4" s="8">
        <v>1</v>
      </c>
      <c r="I4" s="9">
        <v>0</v>
      </c>
      <c r="J4" s="10">
        <v>0</v>
      </c>
      <c r="K4" s="10">
        <v>0</v>
      </c>
      <c r="L4" s="11">
        <v>0</v>
      </c>
      <c r="M4" s="12">
        <v>0</v>
      </c>
      <c r="N4" s="12">
        <v>0</v>
      </c>
      <c r="O4" s="13">
        <v>0</v>
      </c>
      <c r="P4" s="14">
        <v>0</v>
      </c>
      <c r="Q4" s="9">
        <v>0</v>
      </c>
      <c r="R4" s="10">
        <v>0</v>
      </c>
      <c r="S4" s="15">
        <v>1</v>
      </c>
      <c r="T4" s="15">
        <v>17</v>
      </c>
      <c r="U4" s="15">
        <v>0</v>
      </c>
      <c r="V4" s="15">
        <v>1</v>
      </c>
      <c r="W4" s="15">
        <v>3</v>
      </c>
      <c r="X4" s="74">
        <f>SUM(F4:W4)</f>
        <v>23</v>
      </c>
      <c r="Y4" s="77" t="s">
        <v>152</v>
      </c>
    </row>
    <row r="5" spans="1:37" ht="23.25" x14ac:dyDescent="0.25">
      <c r="A5" s="59">
        <v>2</v>
      </c>
      <c r="B5" s="6" t="s">
        <v>27</v>
      </c>
      <c r="C5" s="6" t="s">
        <v>28</v>
      </c>
      <c r="D5" s="6" t="s">
        <v>25</v>
      </c>
      <c r="E5" s="7" t="s">
        <v>29</v>
      </c>
      <c r="F5" s="8">
        <v>0</v>
      </c>
      <c r="G5" s="8">
        <v>0</v>
      </c>
      <c r="H5" s="8">
        <v>1</v>
      </c>
      <c r="I5" s="9">
        <v>0</v>
      </c>
      <c r="J5" s="10">
        <v>1</v>
      </c>
      <c r="K5" s="10">
        <v>0</v>
      </c>
      <c r="L5" s="10">
        <v>0</v>
      </c>
      <c r="M5" s="15">
        <v>2</v>
      </c>
      <c r="N5" s="15">
        <v>0</v>
      </c>
      <c r="O5" s="15">
        <v>0</v>
      </c>
      <c r="P5" s="15">
        <v>0</v>
      </c>
      <c r="Q5" s="9">
        <v>0</v>
      </c>
      <c r="R5" s="15">
        <v>0</v>
      </c>
      <c r="S5" s="15">
        <v>3</v>
      </c>
      <c r="T5" s="15">
        <v>13</v>
      </c>
      <c r="U5" s="15">
        <v>0</v>
      </c>
      <c r="V5" s="15">
        <v>2</v>
      </c>
      <c r="W5" s="15">
        <v>4</v>
      </c>
      <c r="X5" s="74">
        <f t="shared" ref="X5:X23" si="0">SUM(F5:W5)</f>
        <v>26</v>
      </c>
      <c r="Y5" s="78" t="s">
        <v>183</v>
      </c>
      <c r="AA5" s="201" t="s">
        <v>30</v>
      </c>
      <c r="AB5" s="201"/>
      <c r="AC5" s="201"/>
      <c r="AE5" s="201" t="s">
        <v>30</v>
      </c>
      <c r="AF5" s="201"/>
      <c r="AG5" s="201"/>
      <c r="AK5" s="16"/>
    </row>
    <row r="6" spans="1:37" ht="26.25" x14ac:dyDescent="0.25">
      <c r="A6" s="59">
        <v>3</v>
      </c>
      <c r="B6" s="6" t="s">
        <v>31</v>
      </c>
      <c r="C6" s="6" t="s">
        <v>32</v>
      </c>
      <c r="D6" s="6" t="s">
        <v>25</v>
      </c>
      <c r="E6" s="7" t="s">
        <v>33</v>
      </c>
      <c r="F6" s="8">
        <v>0</v>
      </c>
      <c r="G6" s="8">
        <v>0</v>
      </c>
      <c r="H6" s="8">
        <v>0</v>
      </c>
      <c r="I6" s="9">
        <v>1</v>
      </c>
      <c r="J6" s="10">
        <v>4</v>
      </c>
      <c r="K6" s="10">
        <v>0</v>
      </c>
      <c r="L6" s="10">
        <v>1</v>
      </c>
      <c r="M6" s="15">
        <v>4</v>
      </c>
      <c r="N6" s="15">
        <v>0</v>
      </c>
      <c r="O6" s="15">
        <v>1</v>
      </c>
      <c r="P6" s="15">
        <v>0</v>
      </c>
      <c r="Q6" s="9">
        <v>0</v>
      </c>
      <c r="R6" s="15">
        <v>0</v>
      </c>
      <c r="S6" s="15">
        <v>0</v>
      </c>
      <c r="T6" s="15">
        <v>30</v>
      </c>
      <c r="U6" s="15">
        <v>0</v>
      </c>
      <c r="V6" s="15">
        <v>0</v>
      </c>
      <c r="W6" s="15">
        <v>20</v>
      </c>
      <c r="X6" s="74">
        <f t="shared" si="0"/>
        <v>61</v>
      </c>
      <c r="Y6" s="78" t="s">
        <v>183</v>
      </c>
      <c r="AA6" s="17" t="s">
        <v>15</v>
      </c>
      <c r="AB6" s="18" t="s">
        <v>19</v>
      </c>
      <c r="AC6" s="19">
        <v>9</v>
      </c>
      <c r="AE6" s="20" t="s">
        <v>16</v>
      </c>
      <c r="AF6" s="21" t="s">
        <v>19</v>
      </c>
      <c r="AG6" s="22">
        <f>(G29+U29+N29)</f>
        <v>1</v>
      </c>
      <c r="AK6" s="16"/>
    </row>
    <row r="7" spans="1:37" ht="26.25" x14ac:dyDescent="0.25">
      <c r="A7" s="57">
        <v>4</v>
      </c>
      <c r="B7" s="6" t="s">
        <v>34</v>
      </c>
      <c r="C7" s="6" t="s">
        <v>35</v>
      </c>
      <c r="D7" s="6" t="s">
        <v>36</v>
      </c>
      <c r="E7" s="7" t="s">
        <v>37</v>
      </c>
      <c r="F7" s="8">
        <v>0</v>
      </c>
      <c r="G7" s="8">
        <v>0</v>
      </c>
      <c r="H7" s="8">
        <v>1</v>
      </c>
      <c r="I7" s="9">
        <v>0</v>
      </c>
      <c r="J7" s="10">
        <v>7</v>
      </c>
      <c r="K7" s="10">
        <v>3</v>
      </c>
      <c r="L7" s="10">
        <v>1</v>
      </c>
      <c r="M7" s="15">
        <v>3</v>
      </c>
      <c r="N7" s="15">
        <v>0</v>
      </c>
      <c r="O7" s="15">
        <v>0</v>
      </c>
      <c r="P7" s="15">
        <v>0</v>
      </c>
      <c r="Q7" s="9">
        <v>0</v>
      </c>
      <c r="R7" s="15">
        <v>0</v>
      </c>
      <c r="S7" s="15">
        <v>0</v>
      </c>
      <c r="T7" s="15">
        <v>52</v>
      </c>
      <c r="U7" s="15">
        <v>0</v>
      </c>
      <c r="V7" s="15">
        <v>0</v>
      </c>
      <c r="W7" s="15">
        <v>42</v>
      </c>
      <c r="X7" s="74">
        <f t="shared" si="0"/>
        <v>109</v>
      </c>
      <c r="Y7" s="77" t="s">
        <v>152</v>
      </c>
      <c r="AA7" s="23"/>
      <c r="AB7" s="18" t="s">
        <v>17</v>
      </c>
      <c r="AC7" s="19">
        <f>(H29+L29+S29)</f>
        <v>52</v>
      </c>
      <c r="AE7" s="23"/>
      <c r="AF7" s="18" t="s">
        <v>17</v>
      </c>
      <c r="AG7" s="19">
        <v>22</v>
      </c>
      <c r="AK7" s="16"/>
    </row>
    <row r="8" spans="1:37" ht="26.25" x14ac:dyDescent="0.25">
      <c r="A8" s="59">
        <v>5</v>
      </c>
      <c r="B8" s="6" t="s">
        <v>38</v>
      </c>
      <c r="C8" s="6" t="s">
        <v>39</v>
      </c>
      <c r="D8" s="6" t="s">
        <v>25</v>
      </c>
      <c r="E8" s="7" t="s">
        <v>40</v>
      </c>
      <c r="F8" s="8">
        <v>0</v>
      </c>
      <c r="G8" s="8">
        <v>0</v>
      </c>
      <c r="H8" s="8">
        <v>1</v>
      </c>
      <c r="I8" s="9">
        <v>0</v>
      </c>
      <c r="J8" s="10">
        <v>1</v>
      </c>
      <c r="K8" s="10">
        <v>0</v>
      </c>
      <c r="L8" s="10">
        <v>0</v>
      </c>
      <c r="M8" s="15">
        <v>1</v>
      </c>
      <c r="N8" s="15">
        <v>0</v>
      </c>
      <c r="O8" s="15">
        <v>0</v>
      </c>
      <c r="P8" s="15">
        <v>0</v>
      </c>
      <c r="Q8" s="9">
        <v>0</v>
      </c>
      <c r="R8" s="15">
        <v>0</v>
      </c>
      <c r="S8" s="15">
        <v>1</v>
      </c>
      <c r="T8" s="15">
        <v>9</v>
      </c>
      <c r="U8" s="15">
        <v>0</v>
      </c>
      <c r="V8" s="15">
        <v>1</v>
      </c>
      <c r="W8" s="15">
        <v>3</v>
      </c>
      <c r="X8" s="74">
        <f t="shared" si="0"/>
        <v>17</v>
      </c>
      <c r="Y8" s="77" t="s">
        <v>152</v>
      </c>
      <c r="AA8" s="23"/>
      <c r="AB8" s="18" t="s">
        <v>41</v>
      </c>
      <c r="AC8" s="19">
        <v>672</v>
      </c>
      <c r="AE8" s="23"/>
      <c r="AF8" s="18" t="s">
        <v>41</v>
      </c>
      <c r="AG8" s="19">
        <v>343</v>
      </c>
      <c r="AK8" s="16"/>
    </row>
    <row r="9" spans="1:37" ht="26.25" x14ac:dyDescent="0.25">
      <c r="A9" s="57">
        <v>6</v>
      </c>
      <c r="B9" s="6" t="s">
        <v>42</v>
      </c>
      <c r="C9" s="6" t="s">
        <v>43</v>
      </c>
      <c r="D9" s="6" t="s">
        <v>44</v>
      </c>
      <c r="E9" s="7" t="s">
        <v>45</v>
      </c>
      <c r="F9" s="8">
        <v>0</v>
      </c>
      <c r="G9" s="8">
        <v>0</v>
      </c>
      <c r="H9" s="8">
        <v>1</v>
      </c>
      <c r="I9" s="9">
        <v>0</v>
      </c>
      <c r="J9" s="10">
        <v>0</v>
      </c>
      <c r="K9" s="10">
        <v>0</v>
      </c>
      <c r="L9" s="10">
        <v>0</v>
      </c>
      <c r="M9" s="15">
        <v>2</v>
      </c>
      <c r="N9" s="15">
        <v>0</v>
      </c>
      <c r="O9" s="15">
        <v>0</v>
      </c>
      <c r="P9" s="15"/>
      <c r="Q9" s="9">
        <v>0</v>
      </c>
      <c r="R9" s="15">
        <v>0</v>
      </c>
      <c r="S9" s="15">
        <v>0</v>
      </c>
      <c r="T9" s="15">
        <v>8</v>
      </c>
      <c r="U9" s="15">
        <v>0</v>
      </c>
      <c r="V9" s="15">
        <v>0</v>
      </c>
      <c r="W9" s="15">
        <v>8</v>
      </c>
      <c r="X9" s="74">
        <f t="shared" si="0"/>
        <v>19</v>
      </c>
      <c r="Y9" s="77" t="s">
        <v>152</v>
      </c>
      <c r="AA9" s="24"/>
      <c r="AB9" s="18" t="s">
        <v>46</v>
      </c>
      <c r="AC9" s="25">
        <v>1</v>
      </c>
      <c r="AK9" s="16"/>
    </row>
    <row r="10" spans="1:37" ht="23.25" x14ac:dyDescent="0.25">
      <c r="A10" s="59">
        <v>7</v>
      </c>
      <c r="B10" s="6" t="s">
        <v>47</v>
      </c>
      <c r="C10" s="6" t="s">
        <v>48</v>
      </c>
      <c r="D10" s="6" t="s">
        <v>25</v>
      </c>
      <c r="E10" s="7" t="s">
        <v>49</v>
      </c>
      <c r="F10" s="8">
        <v>0</v>
      </c>
      <c r="G10" s="8">
        <v>0</v>
      </c>
      <c r="H10" s="8">
        <v>1</v>
      </c>
      <c r="I10" s="9">
        <v>0</v>
      </c>
      <c r="J10" s="10">
        <v>0</v>
      </c>
      <c r="K10" s="10">
        <v>0</v>
      </c>
      <c r="L10" s="10">
        <v>0</v>
      </c>
      <c r="M10" s="15">
        <v>0</v>
      </c>
      <c r="N10" s="15">
        <v>0</v>
      </c>
      <c r="O10" s="15">
        <v>0</v>
      </c>
      <c r="P10" s="15">
        <v>0</v>
      </c>
      <c r="Q10" s="9">
        <v>0</v>
      </c>
      <c r="R10" s="15">
        <v>0</v>
      </c>
      <c r="S10" s="15">
        <v>1</v>
      </c>
      <c r="T10" s="15">
        <v>9</v>
      </c>
      <c r="U10" s="15">
        <v>0</v>
      </c>
      <c r="V10" s="15">
        <v>0</v>
      </c>
      <c r="W10" s="15">
        <v>7</v>
      </c>
      <c r="X10" s="74">
        <f t="shared" si="0"/>
        <v>18</v>
      </c>
      <c r="Y10" s="77" t="s">
        <v>152</v>
      </c>
      <c r="AK10" s="16"/>
    </row>
    <row r="11" spans="1:37" ht="23.25" x14ac:dyDescent="0.25">
      <c r="A11" s="57">
        <v>8</v>
      </c>
      <c r="B11" s="6" t="s">
        <v>50</v>
      </c>
      <c r="C11" s="6" t="s">
        <v>51</v>
      </c>
      <c r="D11" s="6" t="s">
        <v>52</v>
      </c>
      <c r="E11" s="7" t="s">
        <v>53</v>
      </c>
      <c r="F11" s="8">
        <v>0</v>
      </c>
      <c r="G11" s="8">
        <v>0</v>
      </c>
      <c r="H11" s="8">
        <v>1</v>
      </c>
      <c r="I11" s="9">
        <v>0</v>
      </c>
      <c r="J11" s="10">
        <v>0</v>
      </c>
      <c r="K11" s="10">
        <v>0</v>
      </c>
      <c r="L11" s="10">
        <v>0</v>
      </c>
      <c r="M11" s="15">
        <v>0</v>
      </c>
      <c r="N11" s="15">
        <v>0</v>
      </c>
      <c r="O11" s="15">
        <v>0</v>
      </c>
      <c r="P11" s="15">
        <v>0</v>
      </c>
      <c r="Q11" s="9">
        <v>0</v>
      </c>
      <c r="R11" s="15">
        <v>0</v>
      </c>
      <c r="S11" s="15">
        <v>1</v>
      </c>
      <c r="T11" s="15">
        <v>17</v>
      </c>
      <c r="U11" s="15">
        <v>0</v>
      </c>
      <c r="V11" s="15">
        <v>0</v>
      </c>
      <c r="W11" s="15">
        <v>5</v>
      </c>
      <c r="X11" s="74">
        <f t="shared" si="0"/>
        <v>24</v>
      </c>
      <c r="Y11" s="77" t="s">
        <v>152</v>
      </c>
      <c r="AK11" s="16"/>
    </row>
    <row r="12" spans="1:37" ht="23.25" x14ac:dyDescent="0.25">
      <c r="A12" s="59">
        <v>9</v>
      </c>
      <c r="B12" s="6" t="s">
        <v>54</v>
      </c>
      <c r="C12" s="6" t="s">
        <v>55</v>
      </c>
      <c r="D12" s="6" t="s">
        <v>56</v>
      </c>
      <c r="E12" s="7" t="s">
        <v>57</v>
      </c>
      <c r="F12" s="8">
        <v>1</v>
      </c>
      <c r="G12" s="8">
        <v>0</v>
      </c>
      <c r="H12" s="8">
        <v>0</v>
      </c>
      <c r="I12" s="9">
        <v>0</v>
      </c>
      <c r="J12" s="10">
        <v>0</v>
      </c>
      <c r="K12" s="10">
        <v>0</v>
      </c>
      <c r="L12" s="10">
        <v>0</v>
      </c>
      <c r="M12" s="15">
        <v>0</v>
      </c>
      <c r="N12" s="15">
        <v>0</v>
      </c>
      <c r="O12" s="15">
        <v>0</v>
      </c>
      <c r="P12" s="15">
        <v>0</v>
      </c>
      <c r="Q12" s="9">
        <v>0</v>
      </c>
      <c r="R12" s="15">
        <v>0</v>
      </c>
      <c r="S12" s="15">
        <v>0</v>
      </c>
      <c r="T12" s="15">
        <v>6</v>
      </c>
      <c r="U12" s="15">
        <v>0</v>
      </c>
      <c r="V12" s="15">
        <v>0</v>
      </c>
      <c r="W12" s="15">
        <v>5</v>
      </c>
      <c r="X12" s="74">
        <f t="shared" si="0"/>
        <v>12</v>
      </c>
      <c r="Y12" s="77" t="s">
        <v>152</v>
      </c>
      <c r="AK12" s="16"/>
    </row>
    <row r="13" spans="1:37" ht="23.25" x14ac:dyDescent="0.25">
      <c r="A13" s="57">
        <v>10</v>
      </c>
      <c r="B13" s="6" t="s">
        <v>58</v>
      </c>
      <c r="C13" s="6" t="s">
        <v>59</v>
      </c>
      <c r="D13" s="6" t="s">
        <v>56</v>
      </c>
      <c r="E13" s="7" t="s">
        <v>60</v>
      </c>
      <c r="F13" s="8">
        <v>0</v>
      </c>
      <c r="G13" s="8">
        <v>1</v>
      </c>
      <c r="H13" s="8">
        <v>0</v>
      </c>
      <c r="I13" s="9">
        <v>0</v>
      </c>
      <c r="J13" s="10">
        <v>1</v>
      </c>
      <c r="K13" s="10">
        <v>0</v>
      </c>
      <c r="L13" s="10">
        <v>1</v>
      </c>
      <c r="M13" s="15">
        <v>3</v>
      </c>
      <c r="N13" s="15">
        <v>0</v>
      </c>
      <c r="O13" s="15">
        <v>0</v>
      </c>
      <c r="P13" s="15">
        <v>0</v>
      </c>
      <c r="Q13" s="9">
        <v>0</v>
      </c>
      <c r="R13" s="15">
        <v>0</v>
      </c>
      <c r="S13" s="15">
        <v>0</v>
      </c>
      <c r="T13" s="15">
        <v>37</v>
      </c>
      <c r="U13" s="15">
        <v>0</v>
      </c>
      <c r="V13" s="15">
        <v>0</v>
      </c>
      <c r="W13" s="15">
        <v>9</v>
      </c>
      <c r="X13" s="74">
        <f t="shared" si="0"/>
        <v>52</v>
      </c>
      <c r="Y13" s="77" t="s">
        <v>152</v>
      </c>
      <c r="AK13" s="16"/>
    </row>
    <row r="14" spans="1:37" ht="23.25" x14ac:dyDescent="0.25">
      <c r="A14" s="59">
        <v>11</v>
      </c>
      <c r="B14" s="6" t="s">
        <v>61</v>
      </c>
      <c r="C14" s="6" t="s">
        <v>62</v>
      </c>
      <c r="D14" s="6" t="s">
        <v>63</v>
      </c>
      <c r="E14" s="7" t="s">
        <v>64</v>
      </c>
      <c r="F14" s="8">
        <v>1</v>
      </c>
      <c r="G14" s="8">
        <v>0</v>
      </c>
      <c r="H14" s="8">
        <v>0</v>
      </c>
      <c r="I14" s="9">
        <v>0</v>
      </c>
      <c r="J14" s="10">
        <v>2</v>
      </c>
      <c r="K14" s="10">
        <v>0</v>
      </c>
      <c r="L14" s="10">
        <v>0</v>
      </c>
      <c r="M14" s="15">
        <v>1</v>
      </c>
      <c r="N14" s="15">
        <v>0</v>
      </c>
      <c r="O14" s="15">
        <v>0</v>
      </c>
      <c r="P14" s="15">
        <v>0</v>
      </c>
      <c r="Q14" s="9">
        <v>0</v>
      </c>
      <c r="R14" s="15">
        <v>0</v>
      </c>
      <c r="S14" s="15">
        <v>1</v>
      </c>
      <c r="T14" s="15">
        <v>14</v>
      </c>
      <c r="U14" s="15">
        <v>0</v>
      </c>
      <c r="V14" s="15">
        <v>1</v>
      </c>
      <c r="W14" s="15">
        <v>3</v>
      </c>
      <c r="X14" s="74">
        <f t="shared" si="0"/>
        <v>23</v>
      </c>
      <c r="Y14" s="78" t="s">
        <v>183</v>
      </c>
      <c r="AK14" s="16"/>
    </row>
    <row r="15" spans="1:37" ht="23.25" x14ac:dyDescent="0.25">
      <c r="A15" s="57">
        <v>12</v>
      </c>
      <c r="B15" s="6" t="s">
        <v>65</v>
      </c>
      <c r="C15" s="6" t="s">
        <v>66</v>
      </c>
      <c r="D15" s="6" t="s">
        <v>67</v>
      </c>
      <c r="E15" s="7" t="s">
        <v>68</v>
      </c>
      <c r="F15" s="8">
        <v>0</v>
      </c>
      <c r="G15" s="8">
        <v>0</v>
      </c>
      <c r="H15" s="8">
        <v>1</v>
      </c>
      <c r="I15" s="9">
        <v>0</v>
      </c>
      <c r="J15" s="10">
        <v>5</v>
      </c>
      <c r="K15" s="10">
        <v>0</v>
      </c>
      <c r="L15" s="10">
        <v>5</v>
      </c>
      <c r="M15" s="15">
        <v>3</v>
      </c>
      <c r="N15" s="15">
        <v>0</v>
      </c>
      <c r="O15" s="15">
        <v>1</v>
      </c>
      <c r="P15" s="15">
        <v>0</v>
      </c>
      <c r="Q15" s="9">
        <v>0</v>
      </c>
      <c r="R15" s="15">
        <v>0</v>
      </c>
      <c r="S15" s="15">
        <v>0</v>
      </c>
      <c r="T15" s="15">
        <v>44</v>
      </c>
      <c r="U15" s="15">
        <v>0</v>
      </c>
      <c r="V15" s="15">
        <v>0</v>
      </c>
      <c r="W15" s="15">
        <v>39</v>
      </c>
      <c r="X15" s="74">
        <f t="shared" si="0"/>
        <v>98</v>
      </c>
      <c r="Y15" s="78" t="s">
        <v>183</v>
      </c>
      <c r="AK15" s="16"/>
    </row>
    <row r="16" spans="1:37" ht="23.25" x14ac:dyDescent="0.25">
      <c r="A16" s="59">
        <v>13</v>
      </c>
      <c r="B16" s="6" t="s">
        <v>69</v>
      </c>
      <c r="C16" s="6" t="s">
        <v>70</v>
      </c>
      <c r="D16" s="6" t="s">
        <v>71</v>
      </c>
      <c r="E16" s="7" t="s">
        <v>72</v>
      </c>
      <c r="F16" s="8">
        <v>1</v>
      </c>
      <c r="G16" s="8">
        <v>0</v>
      </c>
      <c r="H16" s="8">
        <v>0</v>
      </c>
      <c r="I16" s="9">
        <v>0</v>
      </c>
      <c r="J16" s="10">
        <v>0</v>
      </c>
      <c r="K16" s="10">
        <v>0</v>
      </c>
      <c r="L16" s="10">
        <v>0</v>
      </c>
      <c r="M16" s="15">
        <v>1</v>
      </c>
      <c r="N16" s="15">
        <v>0</v>
      </c>
      <c r="O16" s="15">
        <v>0</v>
      </c>
      <c r="P16" s="15">
        <v>0</v>
      </c>
      <c r="Q16" s="9">
        <v>0</v>
      </c>
      <c r="R16" s="15">
        <v>0</v>
      </c>
      <c r="S16" s="15">
        <v>0</v>
      </c>
      <c r="T16" s="15">
        <v>5</v>
      </c>
      <c r="U16" s="15">
        <v>0</v>
      </c>
      <c r="V16" s="15">
        <v>0</v>
      </c>
      <c r="W16" s="15">
        <v>0</v>
      </c>
      <c r="X16" s="74">
        <f t="shared" si="0"/>
        <v>7</v>
      </c>
      <c r="Y16" s="78" t="s">
        <v>183</v>
      </c>
      <c r="AK16" s="16"/>
    </row>
    <row r="17" spans="1:37" ht="23.25" x14ac:dyDescent="0.25">
      <c r="A17" s="57">
        <v>14</v>
      </c>
      <c r="B17" s="6" t="s">
        <v>73</v>
      </c>
      <c r="C17" s="6" t="s">
        <v>74</v>
      </c>
      <c r="D17" s="6" t="s">
        <v>25</v>
      </c>
      <c r="E17" s="7" t="s">
        <v>75</v>
      </c>
      <c r="F17" s="8">
        <v>0</v>
      </c>
      <c r="G17" s="8">
        <v>0</v>
      </c>
      <c r="H17" s="8">
        <v>1</v>
      </c>
      <c r="I17" s="9">
        <v>0</v>
      </c>
      <c r="J17" s="10">
        <v>0</v>
      </c>
      <c r="K17" s="10">
        <v>0</v>
      </c>
      <c r="L17" s="10">
        <v>4</v>
      </c>
      <c r="M17" s="15">
        <v>0</v>
      </c>
      <c r="N17" s="15">
        <v>0</v>
      </c>
      <c r="O17" s="15">
        <v>0</v>
      </c>
      <c r="P17" s="15">
        <v>0</v>
      </c>
      <c r="Q17" s="9">
        <v>0</v>
      </c>
      <c r="R17" s="15">
        <v>0</v>
      </c>
      <c r="S17" s="15">
        <v>4</v>
      </c>
      <c r="T17" s="15">
        <v>20</v>
      </c>
      <c r="U17" s="15">
        <v>0</v>
      </c>
      <c r="V17" s="15">
        <v>4</v>
      </c>
      <c r="W17" s="15">
        <v>17</v>
      </c>
      <c r="X17" s="74">
        <f t="shared" si="0"/>
        <v>50</v>
      </c>
      <c r="Y17" s="77" t="s">
        <v>152</v>
      </c>
      <c r="AK17" s="16"/>
    </row>
    <row r="18" spans="1:37" ht="23.25" x14ac:dyDescent="0.25">
      <c r="A18" s="59">
        <v>15</v>
      </c>
      <c r="B18" s="6" t="s">
        <v>76</v>
      </c>
      <c r="C18" s="6" t="s">
        <v>77</v>
      </c>
      <c r="D18" s="6" t="s">
        <v>78</v>
      </c>
      <c r="E18" s="7" t="s">
        <v>79</v>
      </c>
      <c r="F18" s="8">
        <v>0</v>
      </c>
      <c r="G18" s="8">
        <v>0</v>
      </c>
      <c r="H18" s="8">
        <v>1</v>
      </c>
      <c r="I18" s="9">
        <v>0</v>
      </c>
      <c r="J18" s="10">
        <v>5</v>
      </c>
      <c r="K18" s="10">
        <v>0</v>
      </c>
      <c r="L18" s="10">
        <v>0</v>
      </c>
      <c r="M18" s="15">
        <v>1</v>
      </c>
      <c r="N18" s="15">
        <v>0</v>
      </c>
      <c r="O18" s="15">
        <v>0</v>
      </c>
      <c r="P18" s="15">
        <v>0</v>
      </c>
      <c r="Q18" s="9">
        <v>0</v>
      </c>
      <c r="R18" s="15">
        <v>0</v>
      </c>
      <c r="S18" s="15">
        <v>4</v>
      </c>
      <c r="T18" s="15">
        <v>10</v>
      </c>
      <c r="U18" s="15">
        <v>0</v>
      </c>
      <c r="V18" s="15">
        <v>0</v>
      </c>
      <c r="W18" s="15">
        <v>10</v>
      </c>
      <c r="X18" s="74">
        <f t="shared" si="0"/>
        <v>31</v>
      </c>
      <c r="Y18" s="78" t="s">
        <v>183</v>
      </c>
      <c r="AK18" s="16"/>
    </row>
    <row r="19" spans="1:37" ht="23.25" x14ac:dyDescent="0.25">
      <c r="A19" s="57">
        <v>16</v>
      </c>
      <c r="B19" s="6" t="s">
        <v>80</v>
      </c>
      <c r="C19" s="6" t="s">
        <v>81</v>
      </c>
      <c r="D19" s="6" t="s">
        <v>25</v>
      </c>
      <c r="E19" s="7" t="s">
        <v>82</v>
      </c>
      <c r="F19" s="8">
        <v>0</v>
      </c>
      <c r="G19" s="8">
        <v>0</v>
      </c>
      <c r="H19" s="8">
        <v>1</v>
      </c>
      <c r="I19" s="9">
        <v>0</v>
      </c>
      <c r="J19" s="10">
        <v>1</v>
      </c>
      <c r="K19" s="10">
        <v>0</v>
      </c>
      <c r="L19" s="10">
        <v>0</v>
      </c>
      <c r="M19" s="15">
        <v>1</v>
      </c>
      <c r="N19" s="15">
        <v>0</v>
      </c>
      <c r="O19" s="15">
        <v>1</v>
      </c>
      <c r="P19" s="15">
        <v>1</v>
      </c>
      <c r="Q19" s="9">
        <v>0</v>
      </c>
      <c r="R19" s="15">
        <v>0</v>
      </c>
      <c r="S19" s="15">
        <v>0</v>
      </c>
      <c r="T19" s="15">
        <v>20</v>
      </c>
      <c r="U19" s="15">
        <v>0</v>
      </c>
      <c r="V19" s="15">
        <v>0</v>
      </c>
      <c r="W19" s="15">
        <v>5</v>
      </c>
      <c r="X19" s="74">
        <f t="shared" si="0"/>
        <v>30</v>
      </c>
      <c r="Y19" s="78" t="s">
        <v>183</v>
      </c>
      <c r="AK19" s="16"/>
    </row>
    <row r="20" spans="1:37" ht="23.25" x14ac:dyDescent="0.25">
      <c r="A20" s="59">
        <v>17</v>
      </c>
      <c r="B20" s="6" t="s">
        <v>83</v>
      </c>
      <c r="C20" s="6" t="s">
        <v>84</v>
      </c>
      <c r="D20" s="6" t="s">
        <v>44</v>
      </c>
      <c r="E20" s="7" t="s">
        <v>85</v>
      </c>
      <c r="F20" s="8">
        <v>0</v>
      </c>
      <c r="G20" s="8">
        <v>0</v>
      </c>
      <c r="H20" s="8">
        <v>1</v>
      </c>
      <c r="I20" s="9">
        <v>0</v>
      </c>
      <c r="J20" s="10">
        <v>0</v>
      </c>
      <c r="K20" s="10">
        <v>0</v>
      </c>
      <c r="L20" s="10">
        <v>0</v>
      </c>
      <c r="M20" s="15">
        <v>0</v>
      </c>
      <c r="N20" s="15">
        <v>0</v>
      </c>
      <c r="O20" s="15">
        <v>0</v>
      </c>
      <c r="P20" s="15">
        <v>0</v>
      </c>
      <c r="Q20" s="9">
        <v>0</v>
      </c>
      <c r="R20" s="15">
        <v>0</v>
      </c>
      <c r="S20" s="15">
        <v>0</v>
      </c>
      <c r="T20" s="15">
        <v>1</v>
      </c>
      <c r="U20" s="15">
        <v>0</v>
      </c>
      <c r="V20" s="15">
        <v>0</v>
      </c>
      <c r="W20" s="15">
        <v>0</v>
      </c>
      <c r="X20" s="74">
        <f t="shared" si="0"/>
        <v>2</v>
      </c>
      <c r="Y20" s="77" t="s">
        <v>152</v>
      </c>
      <c r="AK20" s="16"/>
    </row>
    <row r="21" spans="1:37" ht="23.25" x14ac:dyDescent="0.25">
      <c r="A21" s="57">
        <v>18</v>
      </c>
      <c r="B21" s="6" t="s">
        <v>86</v>
      </c>
      <c r="C21" s="6" t="s">
        <v>87</v>
      </c>
      <c r="D21" s="6" t="s">
        <v>25</v>
      </c>
      <c r="E21" s="7" t="s">
        <v>88</v>
      </c>
      <c r="F21" s="8">
        <v>0</v>
      </c>
      <c r="G21" s="8">
        <v>0</v>
      </c>
      <c r="H21" s="8">
        <v>1</v>
      </c>
      <c r="I21" s="9">
        <v>0</v>
      </c>
      <c r="J21" s="10">
        <v>0</v>
      </c>
      <c r="K21" s="10">
        <v>0</v>
      </c>
      <c r="L21" s="10">
        <v>0</v>
      </c>
      <c r="M21" s="15">
        <v>2</v>
      </c>
      <c r="N21" s="15">
        <v>0</v>
      </c>
      <c r="O21" s="15">
        <v>0</v>
      </c>
      <c r="P21" s="15">
        <v>0</v>
      </c>
      <c r="Q21" s="9">
        <v>0</v>
      </c>
      <c r="R21" s="15">
        <v>0</v>
      </c>
      <c r="S21" s="15">
        <v>0</v>
      </c>
      <c r="T21" s="15">
        <v>20</v>
      </c>
      <c r="U21" s="15">
        <v>0</v>
      </c>
      <c r="V21" s="15">
        <v>0</v>
      </c>
      <c r="W21" s="15">
        <v>9</v>
      </c>
      <c r="X21" s="74">
        <f t="shared" si="0"/>
        <v>32</v>
      </c>
      <c r="Y21" s="78" t="s">
        <v>183</v>
      </c>
      <c r="AK21" s="16"/>
    </row>
    <row r="22" spans="1:37" ht="23.25" x14ac:dyDescent="0.25">
      <c r="A22" s="59">
        <v>19</v>
      </c>
      <c r="B22" s="6" t="s">
        <v>89</v>
      </c>
      <c r="C22" s="6" t="s">
        <v>197</v>
      </c>
      <c r="D22" s="6" t="s">
        <v>198</v>
      </c>
      <c r="E22" s="6">
        <v>9454401757</v>
      </c>
      <c r="F22" s="9">
        <v>1</v>
      </c>
      <c r="G22" s="9">
        <v>0</v>
      </c>
      <c r="H22" s="8">
        <v>0</v>
      </c>
      <c r="I22" s="9">
        <v>0</v>
      </c>
      <c r="J22" s="10">
        <v>7</v>
      </c>
      <c r="K22" s="10">
        <v>0</v>
      </c>
      <c r="L22" s="10">
        <v>2</v>
      </c>
      <c r="M22" s="15">
        <v>4</v>
      </c>
      <c r="N22" s="15">
        <v>0</v>
      </c>
      <c r="O22" s="15">
        <v>0</v>
      </c>
      <c r="P22" s="15">
        <v>0</v>
      </c>
      <c r="Q22" s="9">
        <v>0</v>
      </c>
      <c r="R22" s="15">
        <v>0</v>
      </c>
      <c r="S22" s="15">
        <v>3</v>
      </c>
      <c r="T22" s="15">
        <v>56</v>
      </c>
      <c r="U22" s="15">
        <v>0</v>
      </c>
      <c r="V22" s="15">
        <v>6</v>
      </c>
      <c r="W22" s="15">
        <v>38</v>
      </c>
      <c r="X22" s="74">
        <f t="shared" si="0"/>
        <v>117</v>
      </c>
      <c r="Y22" s="78" t="s">
        <v>183</v>
      </c>
      <c r="AK22" s="16"/>
    </row>
    <row r="23" spans="1:37" ht="23.25" x14ac:dyDescent="0.25">
      <c r="A23" s="57">
        <v>20</v>
      </c>
      <c r="B23" s="6" t="s">
        <v>91</v>
      </c>
      <c r="C23" s="6" t="s">
        <v>92</v>
      </c>
      <c r="D23" s="6" t="s">
        <v>44</v>
      </c>
      <c r="E23" s="26">
        <v>9467130300</v>
      </c>
      <c r="F23" s="9">
        <v>0</v>
      </c>
      <c r="G23" s="9">
        <v>0</v>
      </c>
      <c r="H23" s="8">
        <v>1</v>
      </c>
      <c r="I23" s="9">
        <v>0</v>
      </c>
      <c r="J23" s="10">
        <v>0</v>
      </c>
      <c r="K23" s="10">
        <v>0</v>
      </c>
      <c r="L23" s="10">
        <v>0</v>
      </c>
      <c r="M23" s="15">
        <v>0</v>
      </c>
      <c r="N23" s="15">
        <v>0</v>
      </c>
      <c r="O23" s="15">
        <v>0</v>
      </c>
      <c r="P23" s="15">
        <v>1</v>
      </c>
      <c r="Q23" s="9">
        <v>0</v>
      </c>
      <c r="R23" s="15">
        <v>0</v>
      </c>
      <c r="S23" s="15">
        <v>1</v>
      </c>
      <c r="T23" s="15">
        <v>4</v>
      </c>
      <c r="U23" s="15">
        <v>0</v>
      </c>
      <c r="V23" s="15">
        <v>0</v>
      </c>
      <c r="W23" s="15">
        <v>1</v>
      </c>
      <c r="X23" s="74">
        <f t="shared" si="0"/>
        <v>8</v>
      </c>
      <c r="Y23" s="77" t="s">
        <v>152</v>
      </c>
      <c r="AK23" s="16"/>
    </row>
    <row r="24" spans="1:37" ht="23.25" x14ac:dyDescent="0.25">
      <c r="A24" s="59">
        <v>21</v>
      </c>
      <c r="B24" s="6" t="s">
        <v>93</v>
      </c>
      <c r="C24" s="7" t="s">
        <v>94</v>
      </c>
      <c r="D24" s="6" t="s">
        <v>95</v>
      </c>
      <c r="E24" s="8" t="s">
        <v>96</v>
      </c>
      <c r="F24" s="8">
        <v>1</v>
      </c>
      <c r="G24" s="9">
        <v>0</v>
      </c>
      <c r="H24" s="10">
        <v>0</v>
      </c>
      <c r="I24" s="10">
        <v>0</v>
      </c>
      <c r="J24" s="27">
        <v>1</v>
      </c>
      <c r="K24" s="27">
        <v>0</v>
      </c>
      <c r="L24" s="28">
        <v>0</v>
      </c>
      <c r="M24" s="8">
        <v>2</v>
      </c>
      <c r="N24" s="8">
        <v>0</v>
      </c>
      <c r="O24" s="8">
        <v>0</v>
      </c>
      <c r="P24" s="9">
        <v>0</v>
      </c>
      <c r="Q24" s="10">
        <v>1</v>
      </c>
      <c r="R24" s="10">
        <v>1</v>
      </c>
      <c r="S24" s="27">
        <v>1</v>
      </c>
      <c r="T24" s="27">
        <v>65</v>
      </c>
      <c r="U24" s="28">
        <v>0</v>
      </c>
      <c r="V24" s="8">
        <v>0</v>
      </c>
      <c r="W24" s="8">
        <v>40</v>
      </c>
      <c r="X24" s="8">
        <f>SUM(C24:W24)</f>
        <v>112</v>
      </c>
      <c r="Y24" s="77" t="s">
        <v>152</v>
      </c>
      <c r="AK24" s="16"/>
    </row>
    <row r="25" spans="1:37" ht="23.25" x14ac:dyDescent="0.25">
      <c r="A25" s="57">
        <v>22</v>
      </c>
      <c r="B25" s="29" t="s">
        <v>101</v>
      </c>
      <c r="C25" s="6" t="s">
        <v>169</v>
      </c>
      <c r="D25" s="6" t="s">
        <v>90</v>
      </c>
      <c r="E25" s="26" t="s">
        <v>170</v>
      </c>
      <c r="F25" s="30">
        <v>1</v>
      </c>
      <c r="G25" s="30">
        <v>0</v>
      </c>
      <c r="H25" s="31">
        <v>0</v>
      </c>
      <c r="I25" s="30">
        <v>0</v>
      </c>
      <c r="J25" s="32">
        <v>6</v>
      </c>
      <c r="K25" s="30">
        <v>0</v>
      </c>
      <c r="L25" s="30">
        <v>0</v>
      </c>
      <c r="M25" s="30">
        <v>5</v>
      </c>
      <c r="N25" s="41">
        <v>0</v>
      </c>
      <c r="O25" s="30">
        <v>0</v>
      </c>
      <c r="P25" s="30">
        <v>0</v>
      </c>
      <c r="Q25" s="30">
        <v>0</v>
      </c>
      <c r="R25" s="30">
        <v>0</v>
      </c>
      <c r="S25" s="30">
        <v>0</v>
      </c>
      <c r="T25" s="30">
        <v>40</v>
      </c>
      <c r="U25" s="30">
        <v>0</v>
      </c>
      <c r="V25" s="30">
        <v>1</v>
      </c>
      <c r="W25" s="30">
        <v>20</v>
      </c>
      <c r="X25" s="75">
        <f>SUM(F25:W25)</f>
        <v>73</v>
      </c>
      <c r="Y25" s="78" t="s">
        <v>183</v>
      </c>
      <c r="AK25" s="16"/>
    </row>
    <row r="26" spans="1:37" ht="23.25" x14ac:dyDescent="0.25">
      <c r="A26" s="59">
        <v>23</v>
      </c>
      <c r="B26" s="48" t="s">
        <v>144</v>
      </c>
      <c r="C26" s="48" t="s">
        <v>145</v>
      </c>
      <c r="D26" s="6" t="s">
        <v>146</v>
      </c>
      <c r="E26" s="49">
        <v>7776836317</v>
      </c>
      <c r="F26" s="50">
        <v>0</v>
      </c>
      <c r="G26" s="50">
        <v>0</v>
      </c>
      <c r="H26" s="51">
        <v>1</v>
      </c>
      <c r="I26" s="50">
        <v>0</v>
      </c>
      <c r="J26" s="52">
        <v>0</v>
      </c>
      <c r="K26" s="50">
        <v>0</v>
      </c>
      <c r="L26" s="50">
        <v>0</v>
      </c>
      <c r="M26" s="50">
        <v>0</v>
      </c>
      <c r="N26" s="53">
        <v>0</v>
      </c>
      <c r="O26" s="50">
        <v>0</v>
      </c>
      <c r="P26" s="50">
        <v>0</v>
      </c>
      <c r="Q26" s="50">
        <v>0</v>
      </c>
      <c r="R26" s="50"/>
      <c r="S26" s="50">
        <v>2</v>
      </c>
      <c r="T26" s="50">
        <v>8</v>
      </c>
      <c r="U26" s="50">
        <v>0</v>
      </c>
      <c r="V26" s="50">
        <v>1</v>
      </c>
      <c r="W26" s="50">
        <v>0</v>
      </c>
      <c r="X26" s="76">
        <f>SUM(F26:W26)</f>
        <v>12</v>
      </c>
      <c r="Y26" s="77" t="s">
        <v>152</v>
      </c>
      <c r="AK26" s="16"/>
    </row>
    <row r="27" spans="1:37" ht="23.25" x14ac:dyDescent="0.25">
      <c r="A27" s="57">
        <v>24</v>
      </c>
      <c r="B27" s="48" t="s">
        <v>147</v>
      </c>
      <c r="C27" s="48" t="s">
        <v>148</v>
      </c>
      <c r="D27" s="6" t="s">
        <v>149</v>
      </c>
      <c r="E27" s="49">
        <v>8607137299</v>
      </c>
      <c r="F27" s="50">
        <v>0</v>
      </c>
      <c r="G27" s="50">
        <v>0</v>
      </c>
      <c r="H27" s="51">
        <v>0</v>
      </c>
      <c r="I27" s="50">
        <v>0</v>
      </c>
      <c r="J27" s="52">
        <v>0</v>
      </c>
      <c r="K27" s="50">
        <v>0</v>
      </c>
      <c r="L27" s="50">
        <v>0</v>
      </c>
      <c r="M27" s="50">
        <v>0</v>
      </c>
      <c r="N27" s="53">
        <v>0</v>
      </c>
      <c r="O27" s="50">
        <v>0</v>
      </c>
      <c r="P27" s="50">
        <v>0</v>
      </c>
      <c r="Q27" s="50">
        <v>0</v>
      </c>
      <c r="R27" s="50">
        <v>0</v>
      </c>
      <c r="S27" s="50">
        <v>0</v>
      </c>
      <c r="T27" s="50">
        <v>0</v>
      </c>
      <c r="U27" s="50">
        <v>0</v>
      </c>
      <c r="V27" s="50">
        <v>0</v>
      </c>
      <c r="W27" s="50">
        <v>2</v>
      </c>
      <c r="X27" s="76">
        <f>SUM(F27:W27)</f>
        <v>2</v>
      </c>
      <c r="Y27" s="77" t="s">
        <v>152</v>
      </c>
      <c r="AK27" s="16"/>
    </row>
    <row r="28" spans="1:37" ht="23.25" x14ac:dyDescent="0.25">
      <c r="A28" s="59">
        <v>25</v>
      </c>
      <c r="B28" s="56" t="s">
        <v>150</v>
      </c>
      <c r="C28" s="43" t="s">
        <v>151</v>
      </c>
      <c r="D28" s="56" t="s">
        <v>154</v>
      </c>
      <c r="E28" s="49">
        <v>8252966659</v>
      </c>
      <c r="F28" s="9">
        <v>1</v>
      </c>
      <c r="G28" s="9">
        <v>0</v>
      </c>
      <c r="H28" s="9">
        <v>0</v>
      </c>
      <c r="I28" s="9">
        <v>0</v>
      </c>
      <c r="J28" s="9">
        <v>0</v>
      </c>
      <c r="K28" s="9">
        <v>0</v>
      </c>
      <c r="L28" s="9">
        <v>0</v>
      </c>
      <c r="M28" s="9">
        <v>4</v>
      </c>
      <c r="N28" s="9">
        <v>0</v>
      </c>
      <c r="O28" s="9">
        <v>1</v>
      </c>
      <c r="P28" s="9">
        <v>0</v>
      </c>
      <c r="Q28" s="9">
        <v>0</v>
      </c>
      <c r="R28" s="9">
        <v>0</v>
      </c>
      <c r="S28" s="9">
        <v>0</v>
      </c>
      <c r="T28" s="61">
        <v>25</v>
      </c>
      <c r="U28" s="9">
        <v>0</v>
      </c>
      <c r="V28" s="9">
        <v>0</v>
      </c>
      <c r="W28" s="9">
        <v>10</v>
      </c>
      <c r="X28" s="76">
        <f>SUM(F28:W28)</f>
        <v>41</v>
      </c>
      <c r="Y28" s="77" t="s">
        <v>152</v>
      </c>
      <c r="AK28" s="16"/>
    </row>
    <row r="29" spans="1:37" ht="23.25" x14ac:dyDescent="0.25">
      <c r="A29" s="33"/>
      <c r="B29" s="34" t="s">
        <v>102</v>
      </c>
      <c r="C29" s="35"/>
      <c r="D29" s="35"/>
      <c r="E29" s="35"/>
      <c r="F29" s="36">
        <f t="shared" ref="F29:X29" si="1">SUM(F4:F28)</f>
        <v>7</v>
      </c>
      <c r="G29" s="36">
        <f t="shared" si="1"/>
        <v>1</v>
      </c>
      <c r="H29" s="36">
        <f t="shared" si="1"/>
        <v>15</v>
      </c>
      <c r="I29" s="36">
        <f t="shared" si="1"/>
        <v>1</v>
      </c>
      <c r="J29" s="36">
        <f t="shared" si="1"/>
        <v>41</v>
      </c>
      <c r="K29" s="36">
        <f t="shared" si="1"/>
        <v>3</v>
      </c>
      <c r="L29" s="36">
        <f t="shared" si="1"/>
        <v>14</v>
      </c>
      <c r="M29" s="36">
        <f t="shared" si="1"/>
        <v>39</v>
      </c>
      <c r="N29" s="36">
        <f t="shared" si="1"/>
        <v>0</v>
      </c>
      <c r="O29" s="36">
        <f t="shared" si="1"/>
        <v>4</v>
      </c>
      <c r="P29" s="36">
        <f t="shared" si="1"/>
        <v>2</v>
      </c>
      <c r="Q29" s="36">
        <f t="shared" si="1"/>
        <v>1</v>
      </c>
      <c r="R29" s="36">
        <f t="shared" si="1"/>
        <v>1</v>
      </c>
      <c r="S29" s="36">
        <f t="shared" si="1"/>
        <v>23</v>
      </c>
      <c r="T29" s="36">
        <f t="shared" si="1"/>
        <v>530</v>
      </c>
      <c r="U29" s="36">
        <f t="shared" si="1"/>
        <v>0</v>
      </c>
      <c r="V29" s="36">
        <f t="shared" si="1"/>
        <v>17</v>
      </c>
      <c r="W29" s="36">
        <f t="shared" si="1"/>
        <v>300</v>
      </c>
      <c r="X29" s="36">
        <f t="shared" si="1"/>
        <v>999</v>
      </c>
      <c r="Y29" s="68"/>
    </row>
    <row r="33" spans="1:37" ht="29.25" customHeight="1" x14ac:dyDescent="0.45">
      <c r="A33" s="179" t="s">
        <v>190</v>
      </c>
      <c r="B33" s="179"/>
      <c r="C33" s="179"/>
      <c r="D33" s="179"/>
      <c r="E33" s="179"/>
      <c r="F33" s="179"/>
      <c r="G33" s="179"/>
      <c r="H33" s="179"/>
      <c r="I33" s="179"/>
      <c r="J33" s="179"/>
      <c r="K33" s="179"/>
      <c r="L33" s="179"/>
      <c r="M33" s="179"/>
      <c r="N33" s="179"/>
      <c r="O33" s="179"/>
      <c r="P33" s="179"/>
      <c r="Q33" s="179"/>
      <c r="R33" s="179"/>
      <c r="S33" s="179"/>
      <c r="T33" s="179"/>
      <c r="U33" s="179"/>
      <c r="V33" s="179"/>
      <c r="W33" s="179"/>
      <c r="X33" s="179"/>
      <c r="Y33" s="87"/>
    </row>
    <row r="34" spans="1:37" ht="23.25" x14ac:dyDescent="0.25">
      <c r="A34" s="57">
        <v>1</v>
      </c>
      <c r="B34" s="6" t="s">
        <v>97</v>
      </c>
      <c r="C34" s="7" t="s">
        <v>98</v>
      </c>
      <c r="D34" s="6" t="s">
        <v>99</v>
      </c>
      <c r="E34" s="8" t="s">
        <v>100</v>
      </c>
      <c r="F34" s="8">
        <v>1</v>
      </c>
      <c r="G34" s="9">
        <v>0</v>
      </c>
      <c r="H34" s="10">
        <v>0</v>
      </c>
      <c r="I34" s="10">
        <v>0</v>
      </c>
      <c r="J34" s="27">
        <v>2</v>
      </c>
      <c r="K34" s="27">
        <v>1</v>
      </c>
      <c r="L34" s="28">
        <v>0</v>
      </c>
      <c r="M34" s="8">
        <v>5</v>
      </c>
      <c r="N34" s="8">
        <v>0</v>
      </c>
      <c r="O34" s="8">
        <v>0</v>
      </c>
      <c r="P34" s="9">
        <v>0</v>
      </c>
      <c r="Q34" s="10">
        <v>0</v>
      </c>
      <c r="R34" s="10">
        <v>0</v>
      </c>
      <c r="S34" s="27">
        <v>0</v>
      </c>
      <c r="T34" s="27">
        <v>55</v>
      </c>
      <c r="U34" s="28">
        <v>0</v>
      </c>
      <c r="V34" s="8">
        <v>0</v>
      </c>
      <c r="W34" s="8">
        <v>37</v>
      </c>
      <c r="X34" s="8">
        <f>SUM(C34:W34)</f>
        <v>101</v>
      </c>
      <c r="Y34" s="9" t="s">
        <v>184</v>
      </c>
      <c r="AK34" s="16"/>
    </row>
    <row r="37" spans="1:37" ht="28.5" x14ac:dyDescent="0.45">
      <c r="A37" s="91"/>
      <c r="B37" s="91"/>
      <c r="C37" s="91"/>
      <c r="D37" s="91"/>
      <c r="E37" s="91"/>
      <c r="F37" s="91"/>
      <c r="G37" s="91"/>
      <c r="H37" s="91"/>
      <c r="I37" s="91"/>
      <c r="J37" s="91"/>
      <c r="K37" s="91"/>
      <c r="L37" s="91"/>
      <c r="M37" s="91"/>
      <c r="N37" s="91"/>
      <c r="O37" s="91"/>
      <c r="P37" s="91"/>
      <c r="Q37" s="91"/>
      <c r="R37" s="91"/>
      <c r="S37" s="91"/>
      <c r="T37" s="91"/>
      <c r="U37" s="91"/>
      <c r="V37" s="91"/>
      <c r="W37" s="91"/>
      <c r="X37" s="91"/>
      <c r="Y37" s="69"/>
    </row>
    <row r="38" spans="1:37" ht="28.5" x14ac:dyDescent="0.45">
      <c r="A38" s="202" t="s">
        <v>142</v>
      </c>
      <c r="B38" s="203"/>
      <c r="C38" s="203"/>
      <c r="D38" s="203"/>
      <c r="E38" s="203"/>
      <c r="F38" s="203"/>
      <c r="G38" s="203"/>
      <c r="H38" s="203"/>
      <c r="I38" s="203"/>
      <c r="J38" s="203"/>
      <c r="K38" s="203"/>
      <c r="L38" s="203"/>
      <c r="M38" s="203"/>
      <c r="N38" s="203"/>
      <c r="O38" s="203"/>
      <c r="P38" s="203"/>
      <c r="Q38" s="203"/>
      <c r="R38" s="203"/>
      <c r="S38" s="203"/>
      <c r="T38" s="203"/>
      <c r="U38" s="203"/>
      <c r="V38" s="203"/>
      <c r="W38" s="203"/>
      <c r="X38" s="204"/>
      <c r="Y38" s="69"/>
    </row>
    <row r="39" spans="1:37" ht="23.25" x14ac:dyDescent="0.25">
      <c r="A39" s="59">
        <v>1</v>
      </c>
      <c r="B39" s="6" t="s">
        <v>103</v>
      </c>
      <c r="C39" s="6" t="s">
        <v>104</v>
      </c>
      <c r="D39" s="6" t="s">
        <v>99</v>
      </c>
      <c r="E39" s="6" t="s">
        <v>105</v>
      </c>
      <c r="F39" s="8">
        <v>0</v>
      </c>
      <c r="G39" s="8">
        <v>1</v>
      </c>
      <c r="H39" s="8">
        <v>0</v>
      </c>
      <c r="I39" s="9">
        <v>0</v>
      </c>
      <c r="J39" s="8">
        <v>4</v>
      </c>
      <c r="K39" s="8">
        <v>1</v>
      </c>
      <c r="L39" s="8">
        <v>0</v>
      </c>
      <c r="M39" s="9">
        <v>3</v>
      </c>
      <c r="N39" s="8">
        <v>1</v>
      </c>
      <c r="O39" s="8">
        <v>1</v>
      </c>
      <c r="P39" s="8">
        <v>2</v>
      </c>
      <c r="Q39" s="9">
        <v>1</v>
      </c>
      <c r="R39" s="8">
        <v>0</v>
      </c>
      <c r="S39" s="8">
        <v>3</v>
      </c>
      <c r="T39" s="8">
        <v>48</v>
      </c>
      <c r="U39" s="9">
        <v>1</v>
      </c>
      <c r="V39" s="8">
        <v>1</v>
      </c>
      <c r="W39" s="8">
        <v>28</v>
      </c>
      <c r="X39" s="73">
        <f>SUM(C39:W39)</f>
        <v>95</v>
      </c>
      <c r="Y39" s="78" t="s">
        <v>183</v>
      </c>
    </row>
    <row r="40" spans="1:37" ht="23.25" x14ac:dyDescent="0.25">
      <c r="A40" s="59">
        <v>2</v>
      </c>
      <c r="B40" s="6" t="s">
        <v>106</v>
      </c>
      <c r="C40" s="6" t="s">
        <v>107</v>
      </c>
      <c r="D40" s="6" t="s">
        <v>90</v>
      </c>
      <c r="E40" s="6" t="s">
        <v>108</v>
      </c>
      <c r="F40" s="8">
        <v>1</v>
      </c>
      <c r="G40" s="8">
        <v>0</v>
      </c>
      <c r="H40" s="8">
        <v>0</v>
      </c>
      <c r="I40" s="9">
        <v>0</v>
      </c>
      <c r="J40" s="10">
        <v>1</v>
      </c>
      <c r="K40" s="10">
        <v>0</v>
      </c>
      <c r="L40" s="10">
        <v>2</v>
      </c>
      <c r="M40" s="15">
        <v>6</v>
      </c>
      <c r="N40" s="15">
        <v>0</v>
      </c>
      <c r="O40" s="15">
        <v>0</v>
      </c>
      <c r="P40" s="15">
        <v>2</v>
      </c>
      <c r="Q40" s="9">
        <v>0</v>
      </c>
      <c r="R40" s="15">
        <v>0</v>
      </c>
      <c r="S40" s="15">
        <v>0</v>
      </c>
      <c r="T40" s="15">
        <v>56</v>
      </c>
      <c r="U40" s="15">
        <v>0</v>
      </c>
      <c r="V40" s="15">
        <v>0</v>
      </c>
      <c r="W40" s="15">
        <v>46</v>
      </c>
      <c r="X40" s="74">
        <f t="shared" ref="X40:X45" si="2">SUM(F40:W40)</f>
        <v>114</v>
      </c>
      <c r="Y40" s="78" t="s">
        <v>183</v>
      </c>
      <c r="AA40" s="201" t="s">
        <v>109</v>
      </c>
      <c r="AB40" s="201"/>
      <c r="AC40" s="201"/>
      <c r="AE40" s="201" t="s">
        <v>109</v>
      </c>
      <c r="AF40" s="201"/>
      <c r="AG40" s="201"/>
    </row>
    <row r="41" spans="1:37" ht="26.25" x14ac:dyDescent="0.25">
      <c r="A41" s="57">
        <v>3</v>
      </c>
      <c r="B41" s="6" t="s">
        <v>110</v>
      </c>
      <c r="C41" s="6" t="s">
        <v>111</v>
      </c>
      <c r="D41" s="6" t="s">
        <v>112</v>
      </c>
      <c r="E41" s="6" t="s">
        <v>113</v>
      </c>
      <c r="F41" s="8">
        <v>0</v>
      </c>
      <c r="G41" s="8">
        <v>0</v>
      </c>
      <c r="H41" s="8">
        <v>1</v>
      </c>
      <c r="I41" s="9">
        <v>0</v>
      </c>
      <c r="J41" s="10">
        <v>5</v>
      </c>
      <c r="K41" s="10">
        <v>0</v>
      </c>
      <c r="L41" s="10">
        <v>3</v>
      </c>
      <c r="M41" s="15">
        <v>1</v>
      </c>
      <c r="N41" s="15">
        <v>0</v>
      </c>
      <c r="O41" s="15">
        <v>0</v>
      </c>
      <c r="P41" s="15">
        <v>0</v>
      </c>
      <c r="Q41" s="9">
        <v>0</v>
      </c>
      <c r="R41" s="15">
        <v>0</v>
      </c>
      <c r="S41" s="15">
        <v>5</v>
      </c>
      <c r="T41" s="15">
        <v>40</v>
      </c>
      <c r="U41" s="15">
        <v>0</v>
      </c>
      <c r="V41" s="15">
        <v>1</v>
      </c>
      <c r="W41" s="15">
        <v>14</v>
      </c>
      <c r="X41" s="74">
        <f t="shared" si="2"/>
        <v>70</v>
      </c>
      <c r="Y41" s="78" t="s">
        <v>183</v>
      </c>
      <c r="AA41" s="17" t="s">
        <v>15</v>
      </c>
      <c r="AB41" s="18" t="s">
        <v>19</v>
      </c>
      <c r="AC41" s="19">
        <v>2</v>
      </c>
      <c r="AE41" s="38" t="s">
        <v>16</v>
      </c>
      <c r="AF41" s="21" t="s">
        <v>19</v>
      </c>
      <c r="AG41" s="22">
        <v>4</v>
      </c>
    </row>
    <row r="42" spans="1:37" ht="26.25" x14ac:dyDescent="0.25">
      <c r="A42" s="59">
        <v>4</v>
      </c>
      <c r="B42" s="6" t="s">
        <v>114</v>
      </c>
      <c r="C42" s="6" t="s">
        <v>115</v>
      </c>
      <c r="D42" s="6" t="s">
        <v>116</v>
      </c>
      <c r="E42" s="6" t="s">
        <v>117</v>
      </c>
      <c r="F42" s="8">
        <v>0</v>
      </c>
      <c r="G42" s="8">
        <v>0</v>
      </c>
      <c r="H42" s="8">
        <v>1</v>
      </c>
      <c r="I42" s="9">
        <v>0</v>
      </c>
      <c r="J42" s="10">
        <v>2</v>
      </c>
      <c r="K42" s="10">
        <v>0</v>
      </c>
      <c r="L42" s="10">
        <v>0</v>
      </c>
      <c r="M42" s="15">
        <v>0</v>
      </c>
      <c r="N42" s="15">
        <v>0</v>
      </c>
      <c r="O42" s="15">
        <v>0</v>
      </c>
      <c r="P42" s="15">
        <v>0</v>
      </c>
      <c r="Q42" s="9">
        <v>0</v>
      </c>
      <c r="R42" s="15">
        <v>0</v>
      </c>
      <c r="S42" s="15">
        <v>1</v>
      </c>
      <c r="T42" s="15">
        <v>9</v>
      </c>
      <c r="U42" s="15">
        <v>0</v>
      </c>
      <c r="V42" s="15">
        <v>0</v>
      </c>
      <c r="W42" s="15">
        <v>8</v>
      </c>
      <c r="X42" s="74">
        <f t="shared" si="2"/>
        <v>21</v>
      </c>
      <c r="Y42" s="78" t="s">
        <v>183</v>
      </c>
      <c r="AA42" s="23"/>
      <c r="AB42" s="18" t="s">
        <v>17</v>
      </c>
      <c r="AC42" s="19">
        <v>19</v>
      </c>
      <c r="AE42" s="23"/>
      <c r="AF42" s="18" t="s">
        <v>17</v>
      </c>
      <c r="AG42" s="19">
        <v>5</v>
      </c>
    </row>
    <row r="43" spans="1:37" ht="26.25" x14ac:dyDescent="0.25">
      <c r="A43" s="59">
        <v>5</v>
      </c>
      <c r="B43" s="6" t="s">
        <v>118</v>
      </c>
      <c r="C43" s="6" t="s">
        <v>119</v>
      </c>
      <c r="D43" s="6" t="s">
        <v>25</v>
      </c>
      <c r="E43" s="6" t="s">
        <v>120</v>
      </c>
      <c r="F43" s="8">
        <v>0</v>
      </c>
      <c r="G43" s="8">
        <v>0</v>
      </c>
      <c r="H43" s="8">
        <v>1</v>
      </c>
      <c r="I43" s="9">
        <v>0</v>
      </c>
      <c r="J43" s="10">
        <v>0</v>
      </c>
      <c r="K43" s="10">
        <v>0</v>
      </c>
      <c r="L43" s="10">
        <v>0</v>
      </c>
      <c r="M43" s="15">
        <v>0</v>
      </c>
      <c r="N43" s="15">
        <v>0</v>
      </c>
      <c r="O43" s="15">
        <v>0</v>
      </c>
      <c r="P43" s="15">
        <v>0</v>
      </c>
      <c r="Q43" s="9">
        <v>0</v>
      </c>
      <c r="R43" s="15">
        <v>0</v>
      </c>
      <c r="S43" s="15">
        <v>0</v>
      </c>
      <c r="T43" s="15">
        <v>13</v>
      </c>
      <c r="U43" s="15">
        <v>0</v>
      </c>
      <c r="V43" s="15">
        <v>0</v>
      </c>
      <c r="W43" s="15">
        <v>4</v>
      </c>
      <c r="X43" s="74">
        <f t="shared" si="2"/>
        <v>18</v>
      </c>
      <c r="Y43" s="78" t="s">
        <v>183</v>
      </c>
      <c r="AA43" s="23"/>
      <c r="AB43" s="18" t="s">
        <v>41</v>
      </c>
      <c r="AC43" s="19">
        <v>259</v>
      </c>
      <c r="AE43" s="23"/>
      <c r="AF43" s="18" t="s">
        <v>41</v>
      </c>
      <c r="AG43" s="19">
        <v>110</v>
      </c>
    </row>
    <row r="44" spans="1:37" ht="26.25" x14ac:dyDescent="0.25">
      <c r="A44" s="59">
        <v>6</v>
      </c>
      <c r="B44" s="6" t="s">
        <v>121</v>
      </c>
      <c r="C44" s="6" t="s">
        <v>122</v>
      </c>
      <c r="D44" s="6" t="s">
        <v>123</v>
      </c>
      <c r="E44" s="6" t="s">
        <v>124</v>
      </c>
      <c r="F44" s="8">
        <v>0</v>
      </c>
      <c r="G44" s="8">
        <v>0</v>
      </c>
      <c r="H44" s="8">
        <v>1</v>
      </c>
      <c r="I44" s="9">
        <v>0</v>
      </c>
      <c r="J44" s="10">
        <v>0</v>
      </c>
      <c r="K44" s="10">
        <v>0</v>
      </c>
      <c r="L44" s="10">
        <v>0</v>
      </c>
      <c r="M44" s="15">
        <v>4</v>
      </c>
      <c r="N44" s="15">
        <v>0</v>
      </c>
      <c r="O44" s="15">
        <v>2</v>
      </c>
      <c r="P44" s="15">
        <v>1</v>
      </c>
      <c r="Q44" s="9">
        <v>0</v>
      </c>
      <c r="R44" s="15">
        <v>0</v>
      </c>
      <c r="S44" s="15">
        <v>0</v>
      </c>
      <c r="T44" s="15">
        <v>36</v>
      </c>
      <c r="U44" s="15">
        <v>1</v>
      </c>
      <c r="V44" s="15">
        <v>0</v>
      </c>
      <c r="W44" s="15">
        <v>4</v>
      </c>
      <c r="X44" s="74">
        <f t="shared" si="2"/>
        <v>49</v>
      </c>
      <c r="Y44" s="78" t="s">
        <v>183</v>
      </c>
      <c r="AA44" s="24"/>
      <c r="AB44" s="18" t="s">
        <v>8</v>
      </c>
      <c r="AC44" s="19">
        <v>1</v>
      </c>
    </row>
    <row r="45" spans="1:37" ht="23.25" x14ac:dyDescent="0.25">
      <c r="A45" s="59">
        <v>7</v>
      </c>
      <c r="B45" s="29" t="s">
        <v>125</v>
      </c>
      <c r="C45" s="29" t="s">
        <v>126</v>
      </c>
      <c r="D45" s="29" t="s">
        <v>99</v>
      </c>
      <c r="E45" s="29" t="s">
        <v>127</v>
      </c>
      <c r="F45" s="31">
        <v>1</v>
      </c>
      <c r="G45" s="31">
        <v>0</v>
      </c>
      <c r="H45" s="31">
        <v>0</v>
      </c>
      <c r="I45" s="30">
        <v>0</v>
      </c>
      <c r="J45" s="40">
        <v>0</v>
      </c>
      <c r="K45" s="40">
        <v>0</v>
      </c>
      <c r="L45" s="40">
        <v>0</v>
      </c>
      <c r="M45" s="41">
        <v>1</v>
      </c>
      <c r="N45" s="41">
        <v>0</v>
      </c>
      <c r="O45" s="41">
        <v>0</v>
      </c>
      <c r="P45" s="41">
        <v>0</v>
      </c>
      <c r="Q45" s="30">
        <v>0</v>
      </c>
      <c r="R45" s="41">
        <v>0</v>
      </c>
      <c r="S45" s="41">
        <v>1</v>
      </c>
      <c r="T45" s="41">
        <v>30</v>
      </c>
      <c r="U45" s="41">
        <v>0</v>
      </c>
      <c r="V45" s="41">
        <v>0</v>
      </c>
      <c r="W45" s="41">
        <v>0</v>
      </c>
      <c r="X45" s="75">
        <f t="shared" si="2"/>
        <v>33</v>
      </c>
      <c r="Y45" s="78" t="s">
        <v>183</v>
      </c>
    </row>
    <row r="46" spans="1:37" ht="23.25" x14ac:dyDescent="0.25">
      <c r="B46" s="34" t="s">
        <v>102</v>
      </c>
      <c r="C46" s="24"/>
      <c r="D46" s="24"/>
      <c r="E46" s="24"/>
      <c r="F46" s="42">
        <f>SUM(F39:F45)</f>
        <v>2</v>
      </c>
      <c r="G46" s="42">
        <f t="shared" ref="G46:X46" si="3">SUM(G39:G45)</f>
        <v>1</v>
      </c>
      <c r="H46" s="42">
        <f t="shared" si="3"/>
        <v>4</v>
      </c>
      <c r="I46" s="42">
        <f t="shared" si="3"/>
        <v>0</v>
      </c>
      <c r="J46" s="42">
        <f t="shared" si="3"/>
        <v>12</v>
      </c>
      <c r="K46" s="42">
        <f t="shared" si="3"/>
        <v>1</v>
      </c>
      <c r="L46" s="42">
        <f t="shared" si="3"/>
        <v>5</v>
      </c>
      <c r="M46" s="42">
        <f t="shared" si="3"/>
        <v>15</v>
      </c>
      <c r="N46" s="42">
        <f t="shared" si="3"/>
        <v>1</v>
      </c>
      <c r="O46" s="42">
        <f t="shared" si="3"/>
        <v>3</v>
      </c>
      <c r="P46" s="42">
        <f t="shared" si="3"/>
        <v>5</v>
      </c>
      <c r="Q46" s="42">
        <f t="shared" si="3"/>
        <v>1</v>
      </c>
      <c r="R46" s="42">
        <f t="shared" si="3"/>
        <v>0</v>
      </c>
      <c r="S46" s="42">
        <f t="shared" si="3"/>
        <v>10</v>
      </c>
      <c r="T46" s="42">
        <f t="shared" si="3"/>
        <v>232</v>
      </c>
      <c r="U46" s="42">
        <f t="shared" si="3"/>
        <v>2</v>
      </c>
      <c r="V46" s="42">
        <f t="shared" si="3"/>
        <v>2</v>
      </c>
      <c r="W46" s="42">
        <f t="shared" si="3"/>
        <v>104</v>
      </c>
      <c r="X46" s="42">
        <f t="shared" si="3"/>
        <v>400</v>
      </c>
      <c r="Y46" s="70"/>
      <c r="AC46" s="16"/>
    </row>
    <row r="51" spans="1:33" ht="28.5" x14ac:dyDescent="0.45">
      <c r="A51" s="179" t="s">
        <v>143</v>
      </c>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69"/>
    </row>
    <row r="52" spans="1:33" ht="28.5" x14ac:dyDescent="0.45">
      <c r="A52" s="179"/>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69"/>
    </row>
    <row r="53" spans="1:33" ht="23.25" x14ac:dyDescent="0.25">
      <c r="A53" s="6">
        <v>1</v>
      </c>
      <c r="B53" s="6" t="s">
        <v>128</v>
      </c>
      <c r="C53" s="7" t="s">
        <v>129</v>
      </c>
      <c r="D53" s="54" t="s">
        <v>130</v>
      </c>
      <c r="E53" s="8" t="s">
        <v>131</v>
      </c>
      <c r="F53" s="8">
        <v>1</v>
      </c>
      <c r="G53" s="9">
        <v>0</v>
      </c>
      <c r="H53" s="10">
        <v>0</v>
      </c>
      <c r="I53" s="10">
        <v>0</v>
      </c>
      <c r="J53" s="6">
        <v>0</v>
      </c>
      <c r="K53" s="6">
        <v>0</v>
      </c>
      <c r="L53" s="7">
        <v>2</v>
      </c>
      <c r="M53" s="8">
        <v>1</v>
      </c>
      <c r="N53" s="8">
        <v>0</v>
      </c>
      <c r="O53" s="8">
        <v>2</v>
      </c>
      <c r="P53" s="9">
        <v>0</v>
      </c>
      <c r="Q53" s="10">
        <v>0</v>
      </c>
      <c r="R53" s="10">
        <v>0</v>
      </c>
      <c r="S53" s="6">
        <v>14</v>
      </c>
      <c r="T53" s="6">
        <v>31</v>
      </c>
      <c r="U53" s="7">
        <v>0</v>
      </c>
      <c r="V53" s="8">
        <v>12</v>
      </c>
      <c r="W53" s="8">
        <v>29</v>
      </c>
      <c r="X53" s="9">
        <f>SUM(F53:W53)</f>
        <v>92</v>
      </c>
      <c r="Y53" s="45"/>
      <c r="AA53" s="201" t="s">
        <v>132</v>
      </c>
      <c r="AB53" s="201"/>
      <c r="AC53" s="201"/>
      <c r="AE53" s="201" t="s">
        <v>132</v>
      </c>
      <c r="AF53" s="201"/>
      <c r="AG53" s="201"/>
    </row>
    <row r="54" spans="1:33" ht="26.25" x14ac:dyDescent="0.25">
      <c r="A54" s="6">
        <v>2</v>
      </c>
      <c r="B54" s="6" t="s">
        <v>133</v>
      </c>
      <c r="C54" s="7" t="s">
        <v>134</v>
      </c>
      <c r="D54" s="54" t="s">
        <v>44</v>
      </c>
      <c r="E54" s="8" t="s">
        <v>135</v>
      </c>
      <c r="F54" s="8">
        <v>0</v>
      </c>
      <c r="G54" s="9">
        <v>0</v>
      </c>
      <c r="H54" s="10">
        <v>1</v>
      </c>
      <c r="I54" s="10">
        <v>0</v>
      </c>
      <c r="J54" s="6">
        <v>0</v>
      </c>
      <c r="K54" s="6">
        <v>0</v>
      </c>
      <c r="L54" s="7">
        <v>0</v>
      </c>
      <c r="M54" s="8">
        <v>0</v>
      </c>
      <c r="N54" s="8">
        <v>0</v>
      </c>
      <c r="O54" s="8">
        <v>0</v>
      </c>
      <c r="P54" s="9">
        <v>0</v>
      </c>
      <c r="Q54" s="10">
        <v>0</v>
      </c>
      <c r="R54" s="10">
        <v>0</v>
      </c>
      <c r="S54" s="6">
        <v>0</v>
      </c>
      <c r="T54" s="6">
        <v>32</v>
      </c>
      <c r="U54" s="7">
        <v>0</v>
      </c>
      <c r="V54" s="8">
        <v>0</v>
      </c>
      <c r="W54" s="8">
        <v>0</v>
      </c>
      <c r="X54" s="9">
        <f t="shared" ref="X54:X55" si="4">SUM(C54:W54)</f>
        <v>33</v>
      </c>
      <c r="Y54" s="45"/>
      <c r="AA54" s="17" t="s">
        <v>15</v>
      </c>
      <c r="AB54" s="18" t="s">
        <v>19</v>
      </c>
      <c r="AC54" s="19">
        <f>(F56+R56)</f>
        <v>2</v>
      </c>
      <c r="AE54" s="38" t="s">
        <v>16</v>
      </c>
      <c r="AF54" s="21" t="s">
        <v>19</v>
      </c>
      <c r="AG54" s="22">
        <f>(G56+N56+U56)</f>
        <v>0</v>
      </c>
    </row>
    <row r="55" spans="1:33" ht="26.25" x14ac:dyDescent="0.25">
      <c r="A55" s="58">
        <v>3</v>
      </c>
      <c r="B55" s="29" t="s">
        <v>136</v>
      </c>
      <c r="C55" s="39" t="s">
        <v>137</v>
      </c>
      <c r="D55" s="55" t="s">
        <v>138</v>
      </c>
      <c r="E55" s="31" t="s">
        <v>139</v>
      </c>
      <c r="F55" s="31">
        <v>1</v>
      </c>
      <c r="G55" s="30">
        <v>0</v>
      </c>
      <c r="H55" s="40">
        <v>0</v>
      </c>
      <c r="I55" s="40">
        <v>0</v>
      </c>
      <c r="J55" s="29">
        <v>2</v>
      </c>
      <c r="K55" s="29">
        <v>0</v>
      </c>
      <c r="L55" s="39">
        <v>1</v>
      </c>
      <c r="M55" s="31">
        <v>2</v>
      </c>
      <c r="N55" s="31">
        <v>0</v>
      </c>
      <c r="O55" s="31">
        <v>0</v>
      </c>
      <c r="P55" s="30">
        <v>1</v>
      </c>
      <c r="Q55" s="40">
        <v>0</v>
      </c>
      <c r="R55" s="40">
        <v>0</v>
      </c>
      <c r="S55" s="29">
        <v>1</v>
      </c>
      <c r="T55" s="29">
        <v>11</v>
      </c>
      <c r="U55" s="39">
        <v>0</v>
      </c>
      <c r="V55" s="31">
        <v>0</v>
      </c>
      <c r="W55" s="31">
        <v>2</v>
      </c>
      <c r="X55" s="30">
        <f t="shared" si="4"/>
        <v>21</v>
      </c>
      <c r="Y55" s="45"/>
      <c r="AA55" s="23"/>
      <c r="AB55" s="18" t="s">
        <v>17</v>
      </c>
      <c r="AC55" s="19">
        <f>(H56+L56+S56)</f>
        <v>19</v>
      </c>
      <c r="AE55" s="23"/>
      <c r="AF55" s="18" t="s">
        <v>17</v>
      </c>
      <c r="AG55" s="19">
        <f>(I56+O56+V56)</f>
        <v>14</v>
      </c>
    </row>
    <row r="56" spans="1:33" ht="26.25" x14ac:dyDescent="0.25">
      <c r="A56" s="26"/>
      <c r="B56" s="26" t="s">
        <v>102</v>
      </c>
      <c r="C56" s="26"/>
      <c r="D56" s="9"/>
      <c r="E56" s="9"/>
      <c r="F56" s="36">
        <f>SUM(F53:F55)</f>
        <v>2</v>
      </c>
      <c r="G56" s="36">
        <f t="shared" ref="G56:X56" si="5">SUM(G53:G55)</f>
        <v>0</v>
      </c>
      <c r="H56" s="36">
        <f t="shared" si="5"/>
        <v>1</v>
      </c>
      <c r="I56" s="36">
        <f t="shared" si="5"/>
        <v>0</v>
      </c>
      <c r="J56" s="36">
        <f t="shared" si="5"/>
        <v>2</v>
      </c>
      <c r="K56" s="36">
        <f t="shared" si="5"/>
        <v>0</v>
      </c>
      <c r="L56" s="36">
        <f t="shared" si="5"/>
        <v>3</v>
      </c>
      <c r="M56" s="36">
        <f t="shared" si="5"/>
        <v>3</v>
      </c>
      <c r="N56" s="36">
        <f t="shared" si="5"/>
        <v>0</v>
      </c>
      <c r="O56" s="36">
        <f t="shared" si="5"/>
        <v>2</v>
      </c>
      <c r="P56" s="36">
        <f t="shared" si="5"/>
        <v>1</v>
      </c>
      <c r="Q56" s="36">
        <f t="shared" si="5"/>
        <v>0</v>
      </c>
      <c r="R56" s="36">
        <f t="shared" si="5"/>
        <v>0</v>
      </c>
      <c r="S56" s="36">
        <f t="shared" si="5"/>
        <v>15</v>
      </c>
      <c r="T56" s="36">
        <f t="shared" si="5"/>
        <v>74</v>
      </c>
      <c r="U56" s="36">
        <f t="shared" si="5"/>
        <v>0</v>
      </c>
      <c r="V56" s="36">
        <f t="shared" si="5"/>
        <v>12</v>
      </c>
      <c r="W56" s="36">
        <f t="shared" si="5"/>
        <v>31</v>
      </c>
      <c r="X56" s="36">
        <f t="shared" si="5"/>
        <v>146</v>
      </c>
      <c r="Y56" s="68"/>
      <c r="AA56" s="23"/>
      <c r="AB56" s="18" t="s">
        <v>41</v>
      </c>
      <c r="AC56" s="19">
        <f>(J56+M56+T56)</f>
        <v>79</v>
      </c>
      <c r="AE56" s="23"/>
      <c r="AF56" s="18" t="s">
        <v>41</v>
      </c>
      <c r="AG56" s="19">
        <f>(K56+P56+W56)</f>
        <v>32</v>
      </c>
    </row>
    <row r="57" spans="1:33" ht="28.5" x14ac:dyDescent="0.25">
      <c r="A57" s="43"/>
      <c r="B57" s="44" t="s">
        <v>140</v>
      </c>
      <c r="C57" s="43"/>
      <c r="D57" s="45"/>
      <c r="E57" s="45"/>
      <c r="F57" s="46">
        <f>(F29+F46+F56)</f>
        <v>11</v>
      </c>
      <c r="G57" s="46">
        <f t="shared" ref="G57:X57" si="6">(G29+G46+G56)</f>
        <v>2</v>
      </c>
      <c r="H57" s="46">
        <f t="shared" si="6"/>
        <v>20</v>
      </c>
      <c r="I57" s="46">
        <f t="shared" si="6"/>
        <v>1</v>
      </c>
      <c r="J57" s="46">
        <f t="shared" si="6"/>
        <v>55</v>
      </c>
      <c r="K57" s="46">
        <f t="shared" si="6"/>
        <v>4</v>
      </c>
      <c r="L57" s="46">
        <f t="shared" si="6"/>
        <v>22</v>
      </c>
      <c r="M57" s="46">
        <f t="shared" si="6"/>
        <v>57</v>
      </c>
      <c r="N57" s="46">
        <f t="shared" si="6"/>
        <v>1</v>
      </c>
      <c r="O57" s="46">
        <f t="shared" si="6"/>
        <v>9</v>
      </c>
      <c r="P57" s="46">
        <f t="shared" si="6"/>
        <v>8</v>
      </c>
      <c r="Q57" s="46">
        <f t="shared" si="6"/>
        <v>2</v>
      </c>
      <c r="R57" s="46">
        <f t="shared" si="6"/>
        <v>1</v>
      </c>
      <c r="S57" s="46">
        <f t="shared" si="6"/>
        <v>48</v>
      </c>
      <c r="T57" s="46">
        <f t="shared" si="6"/>
        <v>836</v>
      </c>
      <c r="U57" s="46">
        <f t="shared" si="6"/>
        <v>2</v>
      </c>
      <c r="V57" s="46">
        <f t="shared" si="6"/>
        <v>31</v>
      </c>
      <c r="W57" s="46">
        <f t="shared" si="6"/>
        <v>435</v>
      </c>
      <c r="X57" s="46">
        <f t="shared" si="6"/>
        <v>1545</v>
      </c>
      <c r="Y57" s="46"/>
      <c r="AA57" s="24"/>
      <c r="AB57" s="18" t="s">
        <v>46</v>
      </c>
      <c r="AC57" s="19">
        <v>0</v>
      </c>
    </row>
    <row r="58" spans="1:33" ht="28.5" x14ac:dyDescent="0.45">
      <c r="A58" s="43"/>
      <c r="F58" s="47"/>
      <c r="G58" s="47"/>
      <c r="H58" s="47"/>
      <c r="I58" s="47"/>
      <c r="J58" s="47"/>
      <c r="K58" s="47"/>
      <c r="L58" s="47"/>
      <c r="M58" s="47"/>
      <c r="N58" s="47"/>
      <c r="O58" s="47"/>
      <c r="P58" s="47"/>
      <c r="Q58" s="47"/>
      <c r="R58" s="47"/>
      <c r="S58" s="47"/>
      <c r="T58" s="47"/>
      <c r="U58" s="47"/>
      <c r="V58" s="47"/>
      <c r="W58" s="47"/>
      <c r="X58" s="47"/>
      <c r="Y58" s="47"/>
    </row>
    <row r="59" spans="1:33" ht="21" x14ac:dyDescent="0.25">
      <c r="A59" s="43"/>
    </row>
    <row r="60" spans="1:33" ht="23.25" x14ac:dyDescent="0.25">
      <c r="A60" s="43"/>
      <c r="B60" s="43"/>
      <c r="C60" s="43"/>
      <c r="D60" s="45"/>
      <c r="E60" s="45"/>
      <c r="F60" s="45"/>
      <c r="G60" s="45"/>
      <c r="H60" s="45"/>
      <c r="I60" s="45"/>
      <c r="J60" s="43"/>
      <c r="K60" s="43"/>
      <c r="L60" s="43"/>
      <c r="M60" s="45"/>
      <c r="N60" s="45"/>
      <c r="O60" s="45"/>
      <c r="P60" s="45"/>
      <c r="Q60" s="45"/>
      <c r="R60" s="45"/>
      <c r="S60" s="43"/>
      <c r="T60" s="43"/>
      <c r="U60" s="43"/>
      <c r="V60" s="45"/>
      <c r="W60" s="45"/>
      <c r="X60" s="45"/>
      <c r="Y60" s="45"/>
    </row>
  </sheetData>
  <mergeCells count="22">
    <mergeCell ref="AA53:AC53"/>
    <mergeCell ref="AE53:AG53"/>
    <mergeCell ref="A33:X33"/>
    <mergeCell ref="A38:X38"/>
    <mergeCell ref="AA5:AC5"/>
    <mergeCell ref="AE5:AG5"/>
    <mergeCell ref="AA40:AC40"/>
    <mergeCell ref="AE40:AG40"/>
    <mergeCell ref="A51:X52"/>
    <mergeCell ref="A1:X1"/>
    <mergeCell ref="A2:A3"/>
    <mergeCell ref="B2:B3"/>
    <mergeCell ref="C2:E2"/>
    <mergeCell ref="F2:G2"/>
    <mergeCell ref="H2:I2"/>
    <mergeCell ref="J2:K2"/>
    <mergeCell ref="L2:M2"/>
    <mergeCell ref="N2:P2"/>
    <mergeCell ref="Q2:Q3"/>
    <mergeCell ref="R2:T2"/>
    <mergeCell ref="U2:W2"/>
    <mergeCell ref="X2:X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4521-824B-4C69-BFAC-9902C1207B51}">
  <dimension ref="A1:O21"/>
  <sheetViews>
    <sheetView workbookViewId="0">
      <selection activeCell="M13" sqref="M13"/>
    </sheetView>
  </sheetViews>
  <sheetFormatPr defaultRowHeight="15" x14ac:dyDescent="0.25"/>
  <cols>
    <col min="1" max="1" width="5.5703125" bestFit="1" customWidth="1"/>
    <col min="2" max="2" width="18.42578125" customWidth="1"/>
    <col min="3" max="3" width="7.7109375" customWidth="1"/>
    <col min="4" max="4" width="12.85546875" bestFit="1" customWidth="1"/>
    <col min="5" max="5" width="15.140625" bestFit="1" customWidth="1"/>
    <col min="6" max="6" width="10" customWidth="1"/>
    <col min="10" max="10" width="16.85546875" customWidth="1"/>
    <col min="11" max="11" width="12" customWidth="1"/>
    <col min="12" max="12" width="14.28515625" customWidth="1"/>
    <col min="13" max="13" width="20.7109375" customWidth="1"/>
  </cols>
  <sheetData>
    <row r="1" spans="1:15" ht="30.75" customHeight="1" x14ac:dyDescent="0.25">
      <c r="A1" s="60"/>
      <c r="B1" s="205" t="s">
        <v>168</v>
      </c>
      <c r="C1" s="205"/>
      <c r="D1" s="205"/>
      <c r="E1" s="205"/>
      <c r="F1" s="205"/>
      <c r="I1" s="206" t="s">
        <v>172</v>
      </c>
      <c r="J1" s="206"/>
      <c r="K1" s="206"/>
      <c r="L1" s="206"/>
      <c r="M1" s="206"/>
      <c r="N1" s="206"/>
    </row>
    <row r="2" spans="1:15" ht="23.25" customHeight="1" x14ac:dyDescent="0.25">
      <c r="A2" s="60" t="s">
        <v>171</v>
      </c>
      <c r="B2" s="60"/>
      <c r="C2" s="60" t="s">
        <v>163</v>
      </c>
      <c r="D2" s="60" t="s">
        <v>165</v>
      </c>
      <c r="E2" s="60" t="s">
        <v>166</v>
      </c>
      <c r="F2" s="60" t="s">
        <v>164</v>
      </c>
      <c r="G2" s="60" t="s">
        <v>167</v>
      </c>
      <c r="I2" s="81" t="s">
        <v>171</v>
      </c>
      <c r="J2" s="81" t="s">
        <v>1</v>
      </c>
      <c r="K2" s="81" t="s">
        <v>163</v>
      </c>
      <c r="L2" s="81" t="s">
        <v>165</v>
      </c>
      <c r="M2" s="81" t="s">
        <v>166</v>
      </c>
      <c r="N2" s="81" t="s">
        <v>164</v>
      </c>
      <c r="O2" s="81" t="s">
        <v>167</v>
      </c>
    </row>
    <row r="3" spans="1:15" ht="30" x14ac:dyDescent="0.25">
      <c r="A3" s="60">
        <v>1</v>
      </c>
      <c r="B3" s="80" t="s">
        <v>155</v>
      </c>
      <c r="C3" s="60">
        <v>0</v>
      </c>
      <c r="D3" s="60">
        <v>2</v>
      </c>
      <c r="E3" s="60">
        <v>45</v>
      </c>
      <c r="F3" s="60">
        <v>62</v>
      </c>
      <c r="G3" s="60">
        <f>SUM(C3:F3)</f>
        <v>109</v>
      </c>
      <c r="I3" s="84">
        <v>1</v>
      </c>
      <c r="J3" s="85" t="s">
        <v>27</v>
      </c>
      <c r="K3" s="82">
        <v>0</v>
      </c>
      <c r="L3" s="82">
        <v>4</v>
      </c>
      <c r="M3" s="82">
        <v>6</v>
      </c>
      <c r="N3" s="82">
        <v>16</v>
      </c>
      <c r="O3" s="82">
        <v>26</v>
      </c>
    </row>
    <row r="4" spans="1:15" ht="15.75" x14ac:dyDescent="0.25">
      <c r="A4" s="60">
        <v>2</v>
      </c>
      <c r="B4" s="80" t="s">
        <v>156</v>
      </c>
      <c r="C4" s="60">
        <v>1</v>
      </c>
      <c r="D4" s="60">
        <v>1</v>
      </c>
      <c r="E4" s="60">
        <v>9</v>
      </c>
      <c r="F4" s="60">
        <v>41</v>
      </c>
      <c r="G4" s="60">
        <f t="shared" ref="G4:G18" si="0">SUM(C4:F4)</f>
        <v>52</v>
      </c>
      <c r="I4" s="84">
        <v>2</v>
      </c>
      <c r="J4" s="85" t="s">
        <v>31</v>
      </c>
      <c r="K4" s="82">
        <v>0</v>
      </c>
      <c r="L4" s="82">
        <v>1</v>
      </c>
      <c r="M4" s="82">
        <v>22</v>
      </c>
      <c r="N4" s="82">
        <v>38</v>
      </c>
      <c r="O4" s="82">
        <v>61</v>
      </c>
    </row>
    <row r="5" spans="1:15" ht="31.5" x14ac:dyDescent="0.25">
      <c r="A5" s="60">
        <v>3</v>
      </c>
      <c r="B5" s="80" t="s">
        <v>157</v>
      </c>
      <c r="C5" s="60">
        <v>1</v>
      </c>
      <c r="D5" s="60">
        <v>0</v>
      </c>
      <c r="E5" s="60">
        <v>5</v>
      </c>
      <c r="F5" s="60">
        <v>6</v>
      </c>
      <c r="G5" s="60">
        <f t="shared" si="0"/>
        <v>12</v>
      </c>
      <c r="I5" s="84">
        <v>3</v>
      </c>
      <c r="J5" s="85" t="s">
        <v>61</v>
      </c>
      <c r="K5" s="82">
        <v>1</v>
      </c>
      <c r="L5" s="82">
        <v>1</v>
      </c>
      <c r="M5" s="82">
        <v>4</v>
      </c>
      <c r="N5" s="82">
        <v>17</v>
      </c>
      <c r="O5" s="82">
        <v>23</v>
      </c>
    </row>
    <row r="6" spans="1:15" ht="31.5" x14ac:dyDescent="0.25">
      <c r="A6" s="60">
        <v>4</v>
      </c>
      <c r="B6" s="80" t="s">
        <v>158</v>
      </c>
      <c r="C6" s="60">
        <v>0</v>
      </c>
      <c r="D6" s="60">
        <v>2</v>
      </c>
      <c r="E6" s="60">
        <v>4</v>
      </c>
      <c r="F6" s="60">
        <v>17</v>
      </c>
      <c r="G6" s="60">
        <f t="shared" si="0"/>
        <v>23</v>
      </c>
      <c r="I6" s="84">
        <v>4</v>
      </c>
      <c r="J6" s="85" t="s">
        <v>65</v>
      </c>
      <c r="K6" s="82">
        <v>0</v>
      </c>
      <c r="L6" s="82">
        <v>6</v>
      </c>
      <c r="M6" s="82">
        <v>40</v>
      </c>
      <c r="N6" s="82">
        <v>52</v>
      </c>
      <c r="O6" s="82">
        <v>98</v>
      </c>
    </row>
    <row r="7" spans="1:15" ht="15.75" x14ac:dyDescent="0.25">
      <c r="A7" s="60">
        <v>5</v>
      </c>
      <c r="B7" s="80" t="s">
        <v>159</v>
      </c>
      <c r="C7" s="60">
        <v>0</v>
      </c>
      <c r="D7" s="60">
        <v>1</v>
      </c>
      <c r="E7" s="60">
        <v>8</v>
      </c>
      <c r="F7" s="60">
        <v>10</v>
      </c>
      <c r="G7" s="60">
        <f t="shared" si="0"/>
        <v>19</v>
      </c>
      <c r="I7" s="84">
        <v>5</v>
      </c>
      <c r="J7" s="85" t="s">
        <v>69</v>
      </c>
      <c r="K7" s="82">
        <v>1</v>
      </c>
      <c r="L7" s="82">
        <v>0</v>
      </c>
      <c r="M7" s="82">
        <v>0</v>
      </c>
      <c r="N7" s="82">
        <v>6</v>
      </c>
      <c r="O7" s="82">
        <v>7</v>
      </c>
    </row>
    <row r="8" spans="1:15" ht="30" x14ac:dyDescent="0.25">
      <c r="A8" s="60">
        <v>6</v>
      </c>
      <c r="B8" s="80" t="s">
        <v>93</v>
      </c>
      <c r="C8" s="60">
        <v>3</v>
      </c>
      <c r="D8" s="60">
        <v>1</v>
      </c>
      <c r="E8" s="60">
        <v>40</v>
      </c>
      <c r="F8" s="60">
        <v>68</v>
      </c>
      <c r="G8" s="60">
        <f t="shared" si="0"/>
        <v>112</v>
      </c>
      <c r="I8" s="84">
        <v>6</v>
      </c>
      <c r="J8" s="85" t="s">
        <v>76</v>
      </c>
      <c r="K8" s="82">
        <v>0</v>
      </c>
      <c r="L8" s="82">
        <v>5</v>
      </c>
      <c r="M8" s="82">
        <v>10</v>
      </c>
      <c r="N8" s="82">
        <v>16</v>
      </c>
      <c r="O8" s="82">
        <v>31</v>
      </c>
    </row>
    <row r="9" spans="1:15" ht="30" x14ac:dyDescent="0.25">
      <c r="A9" s="60">
        <v>7</v>
      </c>
      <c r="B9" s="80" t="s">
        <v>161</v>
      </c>
      <c r="C9" s="60">
        <v>0</v>
      </c>
      <c r="D9" s="60">
        <v>2</v>
      </c>
      <c r="E9" s="60">
        <v>2</v>
      </c>
      <c r="F9" s="60">
        <v>4</v>
      </c>
      <c r="G9" s="60">
        <f t="shared" si="0"/>
        <v>8</v>
      </c>
      <c r="I9" s="84">
        <v>7</v>
      </c>
      <c r="J9" s="85" t="s">
        <v>80</v>
      </c>
      <c r="K9" s="82">
        <v>0</v>
      </c>
      <c r="L9" s="82">
        <v>1</v>
      </c>
      <c r="M9" s="82">
        <v>7</v>
      </c>
      <c r="N9" s="82">
        <v>22</v>
      </c>
      <c r="O9" s="82">
        <v>30</v>
      </c>
    </row>
    <row r="10" spans="1:15" ht="15.75" x14ac:dyDescent="0.25">
      <c r="A10" s="60">
        <v>8</v>
      </c>
      <c r="B10" s="80" t="s">
        <v>185</v>
      </c>
      <c r="C10" s="60">
        <v>0</v>
      </c>
      <c r="D10" s="60">
        <v>2</v>
      </c>
      <c r="E10" s="60">
        <v>4</v>
      </c>
      <c r="F10" s="60">
        <v>11</v>
      </c>
      <c r="G10" s="60">
        <f t="shared" si="0"/>
        <v>17</v>
      </c>
      <c r="I10" s="84">
        <v>8</v>
      </c>
      <c r="J10" s="85" t="s">
        <v>86</v>
      </c>
      <c r="K10" s="82">
        <v>0</v>
      </c>
      <c r="L10" s="82">
        <v>1</v>
      </c>
      <c r="M10" s="82">
        <v>9</v>
      </c>
      <c r="N10" s="82">
        <v>22</v>
      </c>
      <c r="O10" s="82">
        <v>32</v>
      </c>
    </row>
    <row r="11" spans="1:15" ht="15.75" x14ac:dyDescent="0.25">
      <c r="A11" s="60">
        <v>9</v>
      </c>
      <c r="B11" s="80" t="s">
        <v>186</v>
      </c>
      <c r="C11" s="60">
        <v>0</v>
      </c>
      <c r="D11" s="60">
        <v>2</v>
      </c>
      <c r="E11" s="60">
        <v>0</v>
      </c>
      <c r="F11" s="60">
        <v>0</v>
      </c>
      <c r="G11" s="60">
        <f t="shared" si="0"/>
        <v>2</v>
      </c>
      <c r="I11" s="84">
        <v>9</v>
      </c>
      <c r="J11" s="85" t="s">
        <v>89</v>
      </c>
      <c r="K11" s="82">
        <v>1</v>
      </c>
      <c r="L11" s="82">
        <v>5</v>
      </c>
      <c r="M11" s="82">
        <v>44</v>
      </c>
      <c r="N11" s="82">
        <v>67</v>
      </c>
      <c r="O11" s="82">
        <f>SUM(K11:N11)</f>
        <v>117</v>
      </c>
    </row>
    <row r="12" spans="1:15" ht="15.75" x14ac:dyDescent="0.25">
      <c r="A12" s="60">
        <v>10</v>
      </c>
      <c r="B12" s="80" t="s">
        <v>187</v>
      </c>
      <c r="C12" s="60">
        <v>0</v>
      </c>
      <c r="D12" s="60">
        <v>9</v>
      </c>
      <c r="E12" s="60">
        <v>21</v>
      </c>
      <c r="F12" s="60">
        <v>20</v>
      </c>
      <c r="G12" s="60">
        <f t="shared" si="0"/>
        <v>50</v>
      </c>
      <c r="I12" s="84">
        <v>10</v>
      </c>
      <c r="J12" s="85" t="s">
        <v>101</v>
      </c>
      <c r="K12" s="82">
        <v>1</v>
      </c>
      <c r="L12" s="82">
        <v>0</v>
      </c>
      <c r="M12" s="82">
        <v>21</v>
      </c>
      <c r="N12" s="82">
        <v>51</v>
      </c>
      <c r="O12" s="82">
        <v>73</v>
      </c>
    </row>
    <row r="13" spans="1:15" ht="15.75" x14ac:dyDescent="0.25">
      <c r="A13" s="60">
        <v>11</v>
      </c>
      <c r="B13" s="80" t="s">
        <v>189</v>
      </c>
      <c r="C13" s="60">
        <v>1</v>
      </c>
      <c r="D13" s="60">
        <v>0</v>
      </c>
      <c r="E13" s="60">
        <v>11</v>
      </c>
      <c r="F13" s="60">
        <v>29</v>
      </c>
      <c r="G13" s="60">
        <f t="shared" si="0"/>
        <v>41</v>
      </c>
      <c r="I13" s="84"/>
      <c r="J13" s="83" t="s">
        <v>167</v>
      </c>
      <c r="K13" s="83">
        <f>SUM(K3:K12)</f>
        <v>4</v>
      </c>
      <c r="L13" s="83">
        <f t="shared" ref="L13:O13" si="1">SUM(L3:L12)</f>
        <v>24</v>
      </c>
      <c r="M13" s="83">
        <f t="shared" si="1"/>
        <v>163</v>
      </c>
      <c r="N13" s="83">
        <f t="shared" si="1"/>
        <v>307</v>
      </c>
      <c r="O13" s="83">
        <f t="shared" si="1"/>
        <v>498</v>
      </c>
    </row>
    <row r="14" spans="1:15" ht="15.75" x14ac:dyDescent="0.25">
      <c r="A14" s="60">
        <v>12</v>
      </c>
      <c r="B14" s="80" t="s">
        <v>147</v>
      </c>
      <c r="C14" s="60">
        <v>0</v>
      </c>
      <c r="D14" s="60">
        <v>0</v>
      </c>
      <c r="E14" s="60">
        <v>0</v>
      </c>
      <c r="F14" s="60">
        <v>2</v>
      </c>
      <c r="G14" s="60">
        <f t="shared" si="0"/>
        <v>2</v>
      </c>
      <c r="I14" s="92"/>
      <c r="J14" s="94"/>
      <c r="K14" s="93"/>
      <c r="L14" s="93"/>
      <c r="M14" s="93"/>
      <c r="N14" s="93"/>
    </row>
    <row r="15" spans="1:15" ht="15.75" x14ac:dyDescent="0.25">
      <c r="A15" s="60">
        <v>13</v>
      </c>
      <c r="B15" s="80" t="s">
        <v>162</v>
      </c>
      <c r="C15" s="60">
        <v>0</v>
      </c>
      <c r="D15" s="60">
        <v>2</v>
      </c>
      <c r="E15" s="60">
        <v>5</v>
      </c>
      <c r="F15" s="60">
        <v>17</v>
      </c>
      <c r="G15" s="60">
        <f t="shared" si="0"/>
        <v>24</v>
      </c>
      <c r="I15" s="92"/>
    </row>
    <row r="16" spans="1:15" ht="15.75" x14ac:dyDescent="0.25">
      <c r="A16" s="60">
        <v>14</v>
      </c>
      <c r="B16" s="80" t="s">
        <v>144</v>
      </c>
      <c r="C16" s="89">
        <v>0</v>
      </c>
      <c r="D16" s="89">
        <v>3</v>
      </c>
      <c r="E16" s="89">
        <v>1</v>
      </c>
      <c r="F16" s="89">
        <v>8</v>
      </c>
      <c r="G16" s="60">
        <f t="shared" si="0"/>
        <v>12</v>
      </c>
      <c r="I16" s="92"/>
    </row>
    <row r="17" spans="1:9" ht="15.75" x14ac:dyDescent="0.25">
      <c r="A17" s="60">
        <v>15</v>
      </c>
      <c r="B17" s="80" t="s">
        <v>153</v>
      </c>
      <c r="C17" s="89">
        <v>0</v>
      </c>
      <c r="D17" s="89">
        <v>2</v>
      </c>
      <c r="E17" s="89">
        <v>7</v>
      </c>
      <c r="F17" s="89">
        <v>9</v>
      </c>
      <c r="G17" s="60">
        <f t="shared" si="0"/>
        <v>18</v>
      </c>
      <c r="I17" s="92"/>
    </row>
    <row r="18" spans="1:9" ht="23.25" customHeight="1" x14ac:dyDescent="0.25">
      <c r="B18" s="65" t="s">
        <v>167</v>
      </c>
      <c r="C18" s="79">
        <f>SUM(C3:C17)</f>
        <v>6</v>
      </c>
      <c r="D18" s="79">
        <f>SUM(D3:D17)</f>
        <v>29</v>
      </c>
      <c r="E18" s="79">
        <f>SUM(E3:E17)</f>
        <v>162</v>
      </c>
      <c r="F18" s="79">
        <f>SUM(F3:F17)</f>
        <v>304</v>
      </c>
      <c r="G18" s="86">
        <f t="shared" si="0"/>
        <v>501</v>
      </c>
      <c r="I18" s="93"/>
    </row>
    <row r="21" spans="1:9" ht="22.5" customHeight="1" x14ac:dyDescent="0.25">
      <c r="B21" s="207" t="s">
        <v>191</v>
      </c>
      <c r="C21" s="207"/>
      <c r="D21" s="207"/>
      <c r="E21" s="207"/>
      <c r="F21" s="207"/>
      <c r="G21" s="207"/>
    </row>
  </sheetData>
  <mergeCells count="3">
    <mergeCell ref="B1:F1"/>
    <mergeCell ref="I1:N1"/>
    <mergeCell ref="B21:G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6081F-F784-4D9A-A60E-80EFBBB22AE3}">
  <dimension ref="A1:H51"/>
  <sheetViews>
    <sheetView tabSelected="1" workbookViewId="0">
      <selection activeCell="F45" sqref="F45"/>
    </sheetView>
  </sheetViews>
  <sheetFormatPr defaultRowHeight="15" x14ac:dyDescent="0.25"/>
  <cols>
    <col min="2" max="2" width="14.7109375" customWidth="1"/>
    <col min="4" max="4" width="20.85546875" customWidth="1"/>
    <col min="5" max="5" width="23.85546875" bestFit="1" customWidth="1"/>
    <col min="6" max="6" width="12.42578125" bestFit="1" customWidth="1"/>
    <col min="7" max="7" width="21.5703125" bestFit="1" customWidth="1"/>
    <col min="8" max="8" width="55" customWidth="1"/>
  </cols>
  <sheetData>
    <row r="1" spans="1:8" ht="18.75" x14ac:dyDescent="0.3">
      <c r="A1" s="65"/>
      <c r="C1" s="160" t="s">
        <v>199</v>
      </c>
      <c r="D1" s="160"/>
      <c r="E1" s="160"/>
      <c r="F1" s="160"/>
      <c r="G1" s="160"/>
      <c r="H1" s="160"/>
    </row>
    <row r="2" spans="1:8" ht="34.5" customHeight="1" x14ac:dyDescent="0.25">
      <c r="A2" s="104" t="s">
        <v>200</v>
      </c>
      <c r="B2" s="105" t="s">
        <v>201</v>
      </c>
      <c r="C2" s="104" t="s">
        <v>202</v>
      </c>
      <c r="D2" s="105" t="s">
        <v>203</v>
      </c>
      <c r="E2" s="105" t="s">
        <v>204</v>
      </c>
      <c r="F2" s="105" t="s">
        <v>205</v>
      </c>
      <c r="G2" s="106" t="s">
        <v>206</v>
      </c>
      <c r="H2" s="105" t="s">
        <v>207</v>
      </c>
    </row>
    <row r="3" spans="1:8" ht="62.25" customHeight="1" x14ac:dyDescent="0.25">
      <c r="A3" s="107">
        <v>1</v>
      </c>
      <c r="B3" s="161" t="s">
        <v>208</v>
      </c>
      <c r="C3" s="108">
        <v>1</v>
      </c>
      <c r="D3" s="109" t="s">
        <v>155</v>
      </c>
      <c r="E3" s="109" t="s">
        <v>209</v>
      </c>
      <c r="F3" s="109">
        <v>8837408679</v>
      </c>
      <c r="G3" s="109" t="s">
        <v>210</v>
      </c>
      <c r="H3" s="110" t="s">
        <v>211</v>
      </c>
    </row>
    <row r="4" spans="1:8" ht="53.25" customHeight="1" x14ac:dyDescent="0.25">
      <c r="A4" s="107">
        <v>2</v>
      </c>
      <c r="B4" s="162"/>
      <c r="C4" s="108">
        <v>2</v>
      </c>
      <c r="D4" s="109" t="s">
        <v>212</v>
      </c>
      <c r="E4" s="109" t="s">
        <v>213</v>
      </c>
      <c r="F4" s="109">
        <v>9418484672</v>
      </c>
      <c r="G4" s="109" t="s">
        <v>214</v>
      </c>
      <c r="H4" s="110" t="s">
        <v>215</v>
      </c>
    </row>
    <row r="5" spans="1:8" ht="87.75" customHeight="1" x14ac:dyDescent="0.25">
      <c r="A5" s="107">
        <v>3</v>
      </c>
      <c r="B5" s="162"/>
      <c r="C5" s="108">
        <v>3</v>
      </c>
      <c r="D5" s="109" t="s">
        <v>216</v>
      </c>
      <c r="E5" s="109" t="s">
        <v>217</v>
      </c>
      <c r="F5" s="109">
        <v>9439456054</v>
      </c>
      <c r="G5" s="109" t="s">
        <v>218</v>
      </c>
      <c r="H5" s="110" t="s">
        <v>219</v>
      </c>
    </row>
    <row r="6" spans="1:8" ht="74.25" customHeight="1" x14ac:dyDescent="0.25">
      <c r="A6" s="107">
        <v>4</v>
      </c>
      <c r="B6" s="162"/>
      <c r="C6" s="108">
        <v>4</v>
      </c>
      <c r="D6" s="109" t="s">
        <v>175</v>
      </c>
      <c r="E6" s="109" t="s">
        <v>220</v>
      </c>
      <c r="F6" s="109">
        <v>9776501157</v>
      </c>
      <c r="G6" s="109" t="s">
        <v>221</v>
      </c>
      <c r="H6" s="110" t="s">
        <v>222</v>
      </c>
    </row>
    <row r="7" spans="1:8" ht="62.25" customHeight="1" x14ac:dyDescent="0.25">
      <c r="A7" s="169">
        <v>5</v>
      </c>
      <c r="B7" s="162"/>
      <c r="C7" s="172">
        <v>5</v>
      </c>
      <c r="D7" s="109" t="s">
        <v>223</v>
      </c>
      <c r="E7" s="109" t="s">
        <v>224</v>
      </c>
      <c r="F7" s="109">
        <v>9995888299</v>
      </c>
      <c r="G7" s="109" t="s">
        <v>225</v>
      </c>
      <c r="H7" s="110" t="s">
        <v>226</v>
      </c>
    </row>
    <row r="8" spans="1:8" ht="37.5" customHeight="1" x14ac:dyDescent="0.25">
      <c r="A8" s="170"/>
      <c r="B8" s="162"/>
      <c r="C8" s="173"/>
      <c r="D8" s="112" t="s">
        <v>93</v>
      </c>
      <c r="E8" s="109" t="s">
        <v>224</v>
      </c>
      <c r="F8" s="109">
        <v>9995888299</v>
      </c>
      <c r="G8" s="109" t="s">
        <v>227</v>
      </c>
      <c r="H8" s="114" t="s">
        <v>228</v>
      </c>
    </row>
    <row r="9" spans="1:8" ht="36.75" customHeight="1" x14ac:dyDescent="0.25">
      <c r="A9" s="171"/>
      <c r="B9" s="162"/>
      <c r="C9" s="174"/>
      <c r="D9" s="112" t="s">
        <v>93</v>
      </c>
      <c r="E9" s="112" t="s">
        <v>229</v>
      </c>
      <c r="F9" s="112">
        <v>9891618409</v>
      </c>
      <c r="G9" s="109" t="s">
        <v>230</v>
      </c>
      <c r="H9" s="114" t="s">
        <v>231</v>
      </c>
    </row>
    <row r="10" spans="1:8" ht="85.5" customHeight="1" x14ac:dyDescent="0.25">
      <c r="A10" s="107">
        <v>6</v>
      </c>
      <c r="B10" s="162"/>
      <c r="C10" s="108">
        <v>6</v>
      </c>
      <c r="D10" s="112" t="s">
        <v>106</v>
      </c>
      <c r="E10" s="112" t="s">
        <v>107</v>
      </c>
      <c r="F10" s="112">
        <v>9017409009</v>
      </c>
      <c r="G10" s="109" t="s">
        <v>232</v>
      </c>
      <c r="H10" s="66" t="s">
        <v>233</v>
      </c>
    </row>
    <row r="11" spans="1:8" ht="33.75" customHeight="1" x14ac:dyDescent="0.25">
      <c r="A11" s="107">
        <v>7</v>
      </c>
      <c r="B11" s="162"/>
      <c r="C11" s="108">
        <v>7</v>
      </c>
      <c r="D11" s="109" t="s">
        <v>234</v>
      </c>
      <c r="E11" s="109" t="s">
        <v>235</v>
      </c>
      <c r="F11" s="109">
        <v>9467130300</v>
      </c>
      <c r="G11" s="109" t="s">
        <v>236</v>
      </c>
      <c r="H11" s="127" t="s">
        <v>237</v>
      </c>
    </row>
    <row r="12" spans="1:8" ht="28.5" customHeight="1" x14ac:dyDescent="0.25">
      <c r="A12" s="107">
        <v>8</v>
      </c>
      <c r="B12" s="162"/>
      <c r="C12" s="108">
        <v>8</v>
      </c>
      <c r="D12" s="109" t="s">
        <v>125</v>
      </c>
      <c r="E12" s="109" t="s">
        <v>238</v>
      </c>
      <c r="F12" s="109">
        <v>8281382896</v>
      </c>
      <c r="G12" s="109" t="s">
        <v>236</v>
      </c>
      <c r="H12" s="127" t="s">
        <v>239</v>
      </c>
    </row>
    <row r="13" spans="1:8" ht="39" customHeight="1" x14ac:dyDescent="0.25">
      <c r="A13" s="107">
        <v>9</v>
      </c>
      <c r="B13" s="162"/>
      <c r="C13" s="108">
        <v>9</v>
      </c>
      <c r="D13" s="109" t="s">
        <v>240</v>
      </c>
      <c r="E13" s="109" t="s">
        <v>241</v>
      </c>
      <c r="F13" s="109">
        <v>9448545925</v>
      </c>
      <c r="G13" s="109" t="s">
        <v>242</v>
      </c>
      <c r="H13" s="127" t="s">
        <v>243</v>
      </c>
    </row>
    <row r="14" spans="1:8" ht="39" customHeight="1" x14ac:dyDescent="0.25">
      <c r="A14" s="107">
        <v>10</v>
      </c>
      <c r="B14" s="162"/>
      <c r="C14" s="108">
        <v>10</v>
      </c>
      <c r="D14" s="109" t="s">
        <v>244</v>
      </c>
      <c r="E14" s="112" t="s">
        <v>245</v>
      </c>
      <c r="F14" s="112">
        <v>8870840045</v>
      </c>
      <c r="G14" s="109" t="s">
        <v>246</v>
      </c>
      <c r="H14" s="114" t="s">
        <v>247</v>
      </c>
    </row>
    <row r="15" spans="1:8" ht="32.25" customHeight="1" x14ac:dyDescent="0.25">
      <c r="A15" s="107">
        <v>11</v>
      </c>
      <c r="B15" s="162"/>
      <c r="C15" s="108">
        <v>11</v>
      </c>
      <c r="D15" s="109" t="s">
        <v>248</v>
      </c>
      <c r="E15" s="112" t="s">
        <v>81</v>
      </c>
      <c r="F15" s="112">
        <v>7017974765</v>
      </c>
      <c r="G15" s="109" t="s">
        <v>249</v>
      </c>
      <c r="H15" s="134" t="s">
        <v>250</v>
      </c>
    </row>
    <row r="16" spans="1:8" ht="31.5" customHeight="1" x14ac:dyDescent="0.25">
      <c r="A16" s="107">
        <v>12</v>
      </c>
      <c r="B16" s="162"/>
      <c r="C16" s="108">
        <v>12</v>
      </c>
      <c r="D16" s="109" t="s">
        <v>251</v>
      </c>
      <c r="E16" s="112" t="s">
        <v>252</v>
      </c>
      <c r="F16" s="112">
        <v>9924527265</v>
      </c>
      <c r="G16" s="109" t="s">
        <v>253</v>
      </c>
      <c r="H16" s="134" t="s">
        <v>254</v>
      </c>
    </row>
    <row r="17" spans="1:8" ht="44.25" customHeight="1" x14ac:dyDescent="0.25">
      <c r="A17" s="107">
        <v>13</v>
      </c>
      <c r="B17" s="162"/>
      <c r="C17" s="108">
        <v>13</v>
      </c>
      <c r="D17" s="109" t="s">
        <v>255</v>
      </c>
      <c r="E17" s="112" t="s">
        <v>256</v>
      </c>
      <c r="F17" s="109">
        <v>9472972929</v>
      </c>
      <c r="G17" s="109" t="s">
        <v>257</v>
      </c>
      <c r="H17" s="134" t="s">
        <v>258</v>
      </c>
    </row>
    <row r="18" spans="1:8" ht="39" customHeight="1" x14ac:dyDescent="0.25">
      <c r="A18" s="86">
        <v>14</v>
      </c>
      <c r="B18" s="162"/>
      <c r="C18" s="108">
        <v>14</v>
      </c>
      <c r="D18" s="114" t="s">
        <v>89</v>
      </c>
      <c r="E18" s="127" t="s">
        <v>192</v>
      </c>
      <c r="F18" s="128">
        <v>7011550465</v>
      </c>
      <c r="G18" s="109" t="s">
        <v>259</v>
      </c>
      <c r="H18" s="129" t="s">
        <v>260</v>
      </c>
    </row>
    <row r="19" spans="1:8" ht="32.25" customHeight="1" x14ac:dyDescent="0.25">
      <c r="A19" s="107">
        <v>15</v>
      </c>
      <c r="B19" s="111"/>
      <c r="C19" s="108">
        <v>15</v>
      </c>
      <c r="D19" s="114" t="s">
        <v>58</v>
      </c>
      <c r="E19" s="114" t="s">
        <v>59</v>
      </c>
      <c r="F19" s="130">
        <v>9622089944</v>
      </c>
      <c r="G19" s="109" t="s">
        <v>261</v>
      </c>
      <c r="H19" s="129" t="s">
        <v>262</v>
      </c>
    </row>
    <row r="20" spans="1:8" ht="52.5" customHeight="1" x14ac:dyDescent="0.25">
      <c r="A20" s="107">
        <v>16</v>
      </c>
      <c r="B20" s="117"/>
      <c r="C20" s="144">
        <v>16</v>
      </c>
      <c r="D20" s="145" t="s">
        <v>187</v>
      </c>
      <c r="E20" s="145" t="s">
        <v>74</v>
      </c>
      <c r="F20" s="146">
        <v>8146577701</v>
      </c>
      <c r="G20" s="147" t="s">
        <v>263</v>
      </c>
      <c r="H20" s="145" t="s">
        <v>264</v>
      </c>
    </row>
    <row r="21" spans="1:8" ht="52.5" customHeight="1" x14ac:dyDescent="0.25">
      <c r="A21" s="107">
        <v>17</v>
      </c>
      <c r="B21" s="143"/>
      <c r="C21" s="144">
        <v>17</v>
      </c>
      <c r="D21" s="149" t="s">
        <v>103</v>
      </c>
      <c r="E21" s="151" t="s">
        <v>312</v>
      </c>
      <c r="F21" s="152">
        <v>9625626883</v>
      </c>
      <c r="G21" s="136" t="s">
        <v>274</v>
      </c>
      <c r="H21" s="150" t="s">
        <v>313</v>
      </c>
    </row>
    <row r="22" spans="1:8" ht="52.5" customHeight="1" x14ac:dyDescent="0.25">
      <c r="A22" s="107">
        <v>18</v>
      </c>
      <c r="B22" s="143"/>
      <c r="C22" s="118">
        <v>18</v>
      </c>
      <c r="D22" s="114" t="s">
        <v>128</v>
      </c>
      <c r="E22" s="110" t="s">
        <v>129</v>
      </c>
      <c r="F22" s="115">
        <v>9873932998</v>
      </c>
      <c r="G22" s="148" t="s">
        <v>316</v>
      </c>
      <c r="H22" s="113" t="s">
        <v>315</v>
      </c>
    </row>
    <row r="23" spans="1:8" ht="25.5" customHeight="1" x14ac:dyDescent="0.25">
      <c r="A23" s="166"/>
      <c r="B23" s="167"/>
      <c r="C23" s="167"/>
      <c r="D23" s="167"/>
      <c r="E23" s="167"/>
      <c r="F23" s="167"/>
      <c r="G23" s="167"/>
      <c r="H23" s="168"/>
    </row>
    <row r="24" spans="1:8" ht="49.5" customHeight="1" x14ac:dyDescent="0.25">
      <c r="A24" s="119" t="s">
        <v>265</v>
      </c>
      <c r="B24" s="175" t="s">
        <v>266</v>
      </c>
      <c r="C24" s="108">
        <v>1</v>
      </c>
      <c r="D24" s="109" t="s">
        <v>267</v>
      </c>
      <c r="E24" s="109" t="s">
        <v>213</v>
      </c>
      <c r="F24" s="109">
        <v>9418484672</v>
      </c>
      <c r="G24" s="109" t="s">
        <v>214</v>
      </c>
      <c r="H24" s="127" t="s">
        <v>268</v>
      </c>
    </row>
    <row r="25" spans="1:8" ht="49.5" customHeight="1" x14ac:dyDescent="0.25">
      <c r="A25" s="107">
        <v>19</v>
      </c>
      <c r="B25" s="175"/>
      <c r="C25" s="108">
        <v>2</v>
      </c>
      <c r="D25" s="112" t="s">
        <v>179</v>
      </c>
      <c r="E25" s="112" t="s">
        <v>269</v>
      </c>
      <c r="F25" s="112">
        <v>9325154416</v>
      </c>
      <c r="G25" s="109" t="s">
        <v>270</v>
      </c>
      <c r="H25" s="114" t="s">
        <v>271</v>
      </c>
    </row>
    <row r="26" spans="1:8" ht="49.5" customHeight="1" x14ac:dyDescent="0.25">
      <c r="A26" s="107">
        <v>20</v>
      </c>
      <c r="B26" s="175"/>
      <c r="C26" s="120">
        <v>3</v>
      </c>
      <c r="D26" s="112" t="s">
        <v>272</v>
      </c>
      <c r="E26" s="112" t="s">
        <v>273</v>
      </c>
      <c r="F26" s="112">
        <v>9983199959</v>
      </c>
      <c r="G26" s="109" t="s">
        <v>274</v>
      </c>
      <c r="H26" s="114" t="s">
        <v>275</v>
      </c>
    </row>
    <row r="27" spans="1:8" ht="49.5" customHeight="1" x14ac:dyDescent="0.25">
      <c r="A27" s="142">
        <v>21</v>
      </c>
      <c r="B27" s="175"/>
      <c r="C27" s="108">
        <v>4</v>
      </c>
      <c r="D27" s="114" t="s">
        <v>276</v>
      </c>
      <c r="E27" s="112" t="s">
        <v>169</v>
      </c>
      <c r="F27" s="109">
        <v>9965445421</v>
      </c>
      <c r="G27" s="121" t="s">
        <v>277</v>
      </c>
      <c r="H27" s="134" t="s">
        <v>278</v>
      </c>
    </row>
    <row r="28" spans="1:8" ht="25.5" customHeight="1" x14ac:dyDescent="0.25">
      <c r="A28" s="163"/>
      <c r="B28" s="164"/>
      <c r="C28" s="164"/>
      <c r="D28" s="164"/>
      <c r="E28" s="164"/>
      <c r="F28" s="164"/>
      <c r="G28" s="165"/>
      <c r="H28" s="113"/>
    </row>
    <row r="29" spans="1:8" ht="55.5" customHeight="1" x14ac:dyDescent="0.25">
      <c r="A29" s="107">
        <v>22</v>
      </c>
      <c r="B29" s="176" t="s">
        <v>279</v>
      </c>
      <c r="C29" s="120">
        <v>1</v>
      </c>
      <c r="D29" s="114" t="s">
        <v>173</v>
      </c>
      <c r="E29" s="112" t="s">
        <v>280</v>
      </c>
      <c r="F29" s="112">
        <v>9433803233</v>
      </c>
      <c r="G29" s="109" t="s">
        <v>281</v>
      </c>
      <c r="H29" s="114" t="s">
        <v>282</v>
      </c>
    </row>
    <row r="30" spans="1:8" ht="37.5" customHeight="1" x14ac:dyDescent="0.25">
      <c r="A30" s="107">
        <v>23</v>
      </c>
      <c r="B30" s="177"/>
      <c r="C30" s="120">
        <v>2</v>
      </c>
      <c r="D30" s="114" t="s">
        <v>136</v>
      </c>
      <c r="E30" s="109" t="s">
        <v>283</v>
      </c>
      <c r="F30" s="109">
        <v>9862153714</v>
      </c>
      <c r="G30" s="109" t="s">
        <v>284</v>
      </c>
      <c r="H30" s="127" t="s">
        <v>285</v>
      </c>
    </row>
    <row r="31" spans="1:8" ht="47.25" customHeight="1" x14ac:dyDescent="0.25">
      <c r="A31" s="142">
        <v>24</v>
      </c>
      <c r="B31" s="178"/>
      <c r="C31" s="108">
        <v>3</v>
      </c>
      <c r="D31" s="114" t="s">
        <v>180</v>
      </c>
      <c r="E31" s="109" t="s">
        <v>32</v>
      </c>
      <c r="F31" s="109">
        <v>9707015867</v>
      </c>
      <c r="G31" s="109" t="s">
        <v>286</v>
      </c>
      <c r="H31" s="127" t="s">
        <v>287</v>
      </c>
    </row>
    <row r="32" spans="1:8" ht="18.75" customHeight="1" x14ac:dyDescent="0.25">
      <c r="A32" s="163"/>
      <c r="B32" s="164"/>
      <c r="C32" s="164"/>
      <c r="D32" s="164"/>
      <c r="E32" s="164"/>
      <c r="F32" s="164"/>
      <c r="G32" s="164"/>
      <c r="H32" s="165"/>
    </row>
    <row r="33" spans="1:8" ht="44.25" customHeight="1" x14ac:dyDescent="0.25">
      <c r="A33" s="107">
        <v>25</v>
      </c>
      <c r="B33" s="133" t="s">
        <v>288</v>
      </c>
      <c r="C33" s="108">
        <v>1</v>
      </c>
      <c r="D33" s="114" t="s">
        <v>176</v>
      </c>
      <c r="E33" s="112" t="s">
        <v>119</v>
      </c>
      <c r="F33" s="112">
        <v>9425149743</v>
      </c>
      <c r="G33" s="109" t="s">
        <v>289</v>
      </c>
      <c r="H33" s="114" t="s">
        <v>290</v>
      </c>
    </row>
    <row r="34" spans="1:8" ht="15.75" x14ac:dyDescent="0.25">
      <c r="A34" s="65"/>
      <c r="C34" s="65"/>
      <c r="D34" s="158" t="s">
        <v>295</v>
      </c>
      <c r="E34" s="159"/>
      <c r="F34" s="159"/>
    </row>
    <row r="35" spans="1:8" ht="114" customHeight="1" x14ac:dyDescent="0.25">
      <c r="A35" s="119">
        <v>26</v>
      </c>
      <c r="B35" s="122"/>
      <c r="C35" s="119"/>
      <c r="D35" s="123" t="s">
        <v>310</v>
      </c>
      <c r="E35" s="123" t="s">
        <v>296</v>
      </c>
      <c r="F35" s="112">
        <v>9612142704</v>
      </c>
      <c r="G35" s="122"/>
      <c r="H35" s="123" t="s">
        <v>311</v>
      </c>
    </row>
    <row r="36" spans="1:8" ht="36.75" customHeight="1" x14ac:dyDescent="0.25">
      <c r="A36" s="119">
        <v>27</v>
      </c>
      <c r="B36" s="122"/>
      <c r="C36" s="60"/>
      <c r="D36" s="123" t="s">
        <v>178</v>
      </c>
      <c r="E36" s="123" t="s">
        <v>297</v>
      </c>
      <c r="F36" s="112">
        <v>8974102910</v>
      </c>
      <c r="G36" s="122"/>
      <c r="H36" s="123" t="s">
        <v>298</v>
      </c>
    </row>
    <row r="37" spans="1:8" ht="38.25" customHeight="1" x14ac:dyDescent="0.25">
      <c r="A37" s="86"/>
      <c r="B37" s="24"/>
      <c r="C37" s="141" t="s">
        <v>299</v>
      </c>
      <c r="D37" s="123" t="s">
        <v>106</v>
      </c>
      <c r="E37" s="123" t="s">
        <v>107</v>
      </c>
      <c r="F37" s="112">
        <v>9017409009</v>
      </c>
      <c r="G37" s="122"/>
      <c r="H37" s="123" t="s">
        <v>300</v>
      </c>
    </row>
    <row r="38" spans="1:8" ht="39.75" customHeight="1" x14ac:dyDescent="0.25">
      <c r="A38" s="86"/>
      <c r="B38" s="122"/>
      <c r="C38" s="119" t="s">
        <v>301</v>
      </c>
      <c r="D38" s="135" t="s">
        <v>180</v>
      </c>
      <c r="E38" s="135" t="s">
        <v>32</v>
      </c>
      <c r="F38" s="109">
        <v>9707015867</v>
      </c>
      <c r="G38" s="122"/>
      <c r="H38" s="135" t="s">
        <v>302</v>
      </c>
    </row>
    <row r="39" spans="1:8" ht="35.25" customHeight="1" x14ac:dyDescent="0.25">
      <c r="A39" s="124"/>
      <c r="B39" s="136"/>
      <c r="C39" s="137" t="s">
        <v>303</v>
      </c>
      <c r="D39" s="138" t="s">
        <v>304</v>
      </c>
      <c r="E39" s="114" t="s">
        <v>59</v>
      </c>
      <c r="F39" s="130">
        <v>9622089944</v>
      </c>
      <c r="G39" s="136"/>
      <c r="H39" s="138" t="s">
        <v>305</v>
      </c>
    </row>
    <row r="40" spans="1:8" ht="32.25" customHeight="1" x14ac:dyDescent="0.25">
      <c r="A40" s="125"/>
      <c r="B40" s="126"/>
      <c r="C40" s="139" t="s">
        <v>306</v>
      </c>
      <c r="D40" s="131" t="s">
        <v>187</v>
      </c>
      <c r="E40" s="131" t="s">
        <v>74</v>
      </c>
      <c r="F40" s="132">
        <v>8146577701</v>
      </c>
      <c r="G40" s="140"/>
      <c r="H40" s="131" t="s">
        <v>307</v>
      </c>
    </row>
    <row r="41" spans="1:8" ht="18" customHeight="1" x14ac:dyDescent="0.25">
      <c r="A41" s="125">
        <v>28</v>
      </c>
      <c r="B41" s="126"/>
      <c r="C41" s="153"/>
      <c r="D41" s="145" t="s">
        <v>314</v>
      </c>
      <c r="E41" s="145" t="s">
        <v>308</v>
      </c>
      <c r="F41" s="146">
        <v>9609873532</v>
      </c>
      <c r="G41" s="154"/>
      <c r="H41" s="145" t="s">
        <v>309</v>
      </c>
    </row>
    <row r="42" spans="1:8" ht="38.25" x14ac:dyDescent="0.25">
      <c r="A42" s="125"/>
      <c r="B42" s="126"/>
      <c r="C42" s="139" t="s">
        <v>318</v>
      </c>
      <c r="D42" s="131" t="s">
        <v>128</v>
      </c>
      <c r="E42" s="110" t="s">
        <v>129</v>
      </c>
      <c r="F42" s="115">
        <v>9873932998</v>
      </c>
      <c r="G42" s="140"/>
      <c r="H42" s="131" t="s">
        <v>317</v>
      </c>
    </row>
    <row r="43" spans="1:8" ht="18.75" x14ac:dyDescent="0.25">
      <c r="A43" s="65"/>
      <c r="C43" s="156" t="s">
        <v>291</v>
      </c>
      <c r="D43" s="157"/>
      <c r="E43" s="157"/>
      <c r="F43" s="157"/>
      <c r="G43" s="157"/>
    </row>
    <row r="44" spans="1:8" x14ac:dyDescent="0.25">
      <c r="A44" s="86">
        <v>29</v>
      </c>
      <c r="B44" s="24"/>
      <c r="C44" s="86"/>
      <c r="D44" s="114" t="s">
        <v>23</v>
      </c>
      <c r="E44" s="66" t="s">
        <v>24</v>
      </c>
      <c r="F44" s="116">
        <v>9866930369</v>
      </c>
      <c r="G44" s="24"/>
      <c r="H44" s="24" t="s">
        <v>319</v>
      </c>
    </row>
    <row r="45" spans="1:8" x14ac:dyDescent="0.25">
      <c r="A45" s="86">
        <v>30</v>
      </c>
      <c r="B45" s="24"/>
      <c r="C45" s="86"/>
      <c r="D45" s="114" t="s">
        <v>27</v>
      </c>
      <c r="E45" s="110" t="s">
        <v>292</v>
      </c>
      <c r="F45" s="115">
        <v>8798672953</v>
      </c>
      <c r="G45" s="24"/>
      <c r="H45" s="110"/>
    </row>
    <row r="46" spans="1:8" x14ac:dyDescent="0.25">
      <c r="A46" s="86">
        <v>31</v>
      </c>
      <c r="B46" s="24"/>
      <c r="C46" s="86"/>
      <c r="D46" s="114" t="s">
        <v>42</v>
      </c>
      <c r="E46" s="66" t="s">
        <v>293</v>
      </c>
      <c r="F46" s="116">
        <v>9463881916</v>
      </c>
      <c r="G46" s="24"/>
      <c r="H46" s="110"/>
    </row>
    <row r="47" spans="1:8" x14ac:dyDescent="0.25">
      <c r="A47" s="86">
        <v>32</v>
      </c>
      <c r="B47" s="24"/>
      <c r="C47" s="86"/>
      <c r="D47" s="114" t="s">
        <v>47</v>
      </c>
      <c r="E47" s="24"/>
      <c r="F47" s="24"/>
      <c r="G47" s="24"/>
      <c r="H47" s="110"/>
    </row>
    <row r="48" spans="1:8" x14ac:dyDescent="0.25">
      <c r="A48" s="86">
        <v>33</v>
      </c>
      <c r="B48" s="24"/>
      <c r="C48" s="86"/>
      <c r="D48" s="114" t="s">
        <v>144</v>
      </c>
      <c r="E48" s="24"/>
      <c r="F48" s="24"/>
      <c r="G48" s="24"/>
      <c r="H48" s="110"/>
    </row>
    <row r="49" spans="1:8" x14ac:dyDescent="0.25">
      <c r="A49" s="86">
        <v>34</v>
      </c>
      <c r="B49" s="24"/>
      <c r="C49" s="86"/>
      <c r="D49" s="114" t="s">
        <v>147</v>
      </c>
      <c r="E49" s="24"/>
      <c r="F49" s="24"/>
      <c r="G49" s="24"/>
      <c r="H49" s="110"/>
    </row>
    <row r="50" spans="1:8" x14ac:dyDescent="0.25">
      <c r="A50" s="155">
        <v>35</v>
      </c>
      <c r="B50" s="24"/>
      <c r="C50" s="86"/>
      <c r="D50" s="114" t="s">
        <v>150</v>
      </c>
      <c r="E50" s="24"/>
      <c r="F50" s="24"/>
      <c r="G50" s="24"/>
      <c r="H50" s="110"/>
    </row>
    <row r="51" spans="1:8" x14ac:dyDescent="0.25">
      <c r="A51" s="86">
        <v>36</v>
      </c>
      <c r="B51" s="24"/>
      <c r="C51" s="86"/>
      <c r="D51" s="114" t="s">
        <v>294</v>
      </c>
      <c r="E51" s="24"/>
      <c r="F51" s="24"/>
      <c r="G51" s="24"/>
      <c r="H51" s="110"/>
    </row>
  </sheetData>
  <mergeCells count="11">
    <mergeCell ref="C43:G43"/>
    <mergeCell ref="D34:F34"/>
    <mergeCell ref="C1:H1"/>
    <mergeCell ref="B3:B18"/>
    <mergeCell ref="A32:H32"/>
    <mergeCell ref="A23:H23"/>
    <mergeCell ref="A7:A9"/>
    <mergeCell ref="C7:C9"/>
    <mergeCell ref="B24:B27"/>
    <mergeCell ref="A28:G28"/>
    <mergeCell ref="B29:B31"/>
  </mergeCells>
  <pageMargins left="0.23622047244094491" right="0.23622047244094491" top="0.74803149606299213" bottom="0.74803149606299213" header="0.31496062992125984" footer="0.31496062992125984"/>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B51BA-F61C-4461-897C-8B4075E20B0B}">
  <dimension ref="A2:E27"/>
  <sheetViews>
    <sheetView workbookViewId="0">
      <selection activeCell="B2" sqref="B2:E2"/>
    </sheetView>
  </sheetViews>
  <sheetFormatPr defaultRowHeight="15" x14ac:dyDescent="0.25"/>
  <cols>
    <col min="1" max="1" width="36.85546875" bestFit="1" customWidth="1"/>
    <col min="2" max="2" width="27" customWidth="1"/>
    <col min="3" max="3" width="21.28515625" customWidth="1"/>
    <col min="4" max="4" width="20.5703125" customWidth="1"/>
    <col min="8" max="8" width="34.7109375" bestFit="1" customWidth="1"/>
    <col min="9" max="9" width="19" customWidth="1"/>
  </cols>
  <sheetData>
    <row r="2" spans="1:5" ht="21" x14ac:dyDescent="0.25">
      <c r="B2" s="27" t="s">
        <v>193</v>
      </c>
      <c r="C2" s="27" t="s">
        <v>194</v>
      </c>
      <c r="D2" s="27" t="s">
        <v>195</v>
      </c>
      <c r="E2" s="27" t="s">
        <v>196</v>
      </c>
    </row>
    <row r="3" spans="1:5" ht="21" x14ac:dyDescent="0.25">
      <c r="A3" s="6" t="s">
        <v>23</v>
      </c>
    </row>
    <row r="4" spans="1:5" ht="21" x14ac:dyDescent="0.25">
      <c r="A4" s="6" t="s">
        <v>27</v>
      </c>
    </row>
    <row r="5" spans="1:5" ht="21" x14ac:dyDescent="0.25">
      <c r="A5" s="6" t="s">
        <v>31</v>
      </c>
    </row>
    <row r="6" spans="1:5" ht="21" x14ac:dyDescent="0.25">
      <c r="A6" s="6" t="s">
        <v>34</v>
      </c>
    </row>
    <row r="7" spans="1:5" ht="21" x14ac:dyDescent="0.25">
      <c r="A7" s="6" t="s">
        <v>38</v>
      </c>
    </row>
    <row r="8" spans="1:5" ht="21" x14ac:dyDescent="0.25">
      <c r="A8" s="6" t="s">
        <v>42</v>
      </c>
    </row>
    <row r="9" spans="1:5" ht="21" x14ac:dyDescent="0.25">
      <c r="A9" s="6" t="s">
        <v>47</v>
      </c>
    </row>
    <row r="10" spans="1:5" ht="21" x14ac:dyDescent="0.25">
      <c r="A10" s="6" t="s">
        <v>50</v>
      </c>
    </row>
    <row r="11" spans="1:5" ht="21" x14ac:dyDescent="0.25">
      <c r="A11" s="6" t="s">
        <v>54</v>
      </c>
    </row>
    <row r="12" spans="1:5" ht="21" x14ac:dyDescent="0.25">
      <c r="A12" s="6" t="s">
        <v>58</v>
      </c>
    </row>
    <row r="13" spans="1:5" ht="21" x14ac:dyDescent="0.25">
      <c r="A13" s="6" t="s">
        <v>61</v>
      </c>
    </row>
    <row r="14" spans="1:5" ht="21" x14ac:dyDescent="0.25">
      <c r="A14" s="6" t="s">
        <v>65</v>
      </c>
    </row>
    <row r="15" spans="1:5" ht="21" x14ac:dyDescent="0.25">
      <c r="A15" s="6" t="s">
        <v>69</v>
      </c>
    </row>
    <row r="16" spans="1:5" ht="21" x14ac:dyDescent="0.25">
      <c r="A16" s="6" t="s">
        <v>73</v>
      </c>
    </row>
    <row r="17" spans="1:1" ht="21" x14ac:dyDescent="0.25">
      <c r="A17" s="6" t="s">
        <v>76</v>
      </c>
    </row>
    <row r="18" spans="1:1" ht="21" x14ac:dyDescent="0.25">
      <c r="A18" s="6" t="s">
        <v>80</v>
      </c>
    </row>
    <row r="19" spans="1:1" ht="21" x14ac:dyDescent="0.25">
      <c r="A19" s="6" t="s">
        <v>83</v>
      </c>
    </row>
    <row r="20" spans="1:1" ht="21" x14ac:dyDescent="0.25">
      <c r="A20" s="6" t="s">
        <v>86</v>
      </c>
    </row>
    <row r="21" spans="1:1" ht="21" x14ac:dyDescent="0.25">
      <c r="A21" s="6" t="s">
        <v>89</v>
      </c>
    </row>
    <row r="22" spans="1:1" ht="21" x14ac:dyDescent="0.25">
      <c r="A22" s="6" t="s">
        <v>91</v>
      </c>
    </row>
    <row r="23" spans="1:1" ht="21" x14ac:dyDescent="0.25">
      <c r="A23" s="6" t="s">
        <v>93</v>
      </c>
    </row>
    <row r="24" spans="1:1" ht="21" x14ac:dyDescent="0.25">
      <c r="A24" s="29" t="s">
        <v>101</v>
      </c>
    </row>
    <row r="25" spans="1:1" ht="21" x14ac:dyDescent="0.25">
      <c r="A25" s="48" t="s">
        <v>144</v>
      </c>
    </row>
    <row r="26" spans="1:1" ht="21" x14ac:dyDescent="0.25">
      <c r="A26" s="90" t="s">
        <v>147</v>
      </c>
    </row>
    <row r="27" spans="1:1" ht="21" x14ac:dyDescent="0.25">
      <c r="A27" s="26" t="s">
        <v>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E593-BC43-4F7E-B4A1-1B9E470BDD6E}">
  <dimension ref="A1:C23"/>
  <sheetViews>
    <sheetView workbookViewId="0">
      <selection activeCell="B15" sqref="B15"/>
    </sheetView>
  </sheetViews>
  <sheetFormatPr defaultRowHeight="15" x14ac:dyDescent="0.25"/>
  <cols>
    <col min="1" max="1" width="23.28515625" customWidth="1"/>
    <col min="2" max="2" width="36.85546875" bestFit="1" customWidth="1"/>
    <col min="3" max="3" width="24" customWidth="1"/>
  </cols>
  <sheetData>
    <row r="1" spans="1:3" x14ac:dyDescent="0.25">
      <c r="A1" t="s">
        <v>182</v>
      </c>
      <c r="C1" t="s">
        <v>152</v>
      </c>
    </row>
    <row r="2" spans="1:3" x14ac:dyDescent="0.25">
      <c r="A2" s="66" t="s">
        <v>177</v>
      </c>
      <c r="B2" s="63" t="s">
        <v>23</v>
      </c>
      <c r="C2" s="66" t="s">
        <v>158</v>
      </c>
    </row>
    <row r="3" spans="1:3" ht="25.5" x14ac:dyDescent="0.25">
      <c r="A3" s="66" t="s">
        <v>180</v>
      </c>
      <c r="B3" s="66" t="s">
        <v>27</v>
      </c>
      <c r="C3" s="66" t="s">
        <v>160</v>
      </c>
    </row>
    <row r="4" spans="1:3" x14ac:dyDescent="0.25">
      <c r="A4" s="66" t="s">
        <v>86</v>
      </c>
      <c r="B4" s="66" t="s">
        <v>31</v>
      </c>
      <c r="C4" s="66" t="s">
        <v>155</v>
      </c>
    </row>
    <row r="5" spans="1:3" x14ac:dyDescent="0.25">
      <c r="A5" s="72" t="s">
        <v>103</v>
      </c>
      <c r="B5" s="66" t="s">
        <v>34</v>
      </c>
      <c r="C5" s="66" t="s">
        <v>159</v>
      </c>
    </row>
    <row r="6" spans="1:3" x14ac:dyDescent="0.25">
      <c r="A6" s="66" t="s">
        <v>61</v>
      </c>
      <c r="B6" s="71" t="s">
        <v>38</v>
      </c>
      <c r="C6" s="66" t="s">
        <v>50</v>
      </c>
    </row>
    <row r="7" spans="1:3" x14ac:dyDescent="0.25">
      <c r="A7" s="72" t="s">
        <v>125</v>
      </c>
      <c r="B7" s="66" t="s">
        <v>42</v>
      </c>
      <c r="C7" s="66" t="s">
        <v>161</v>
      </c>
    </row>
    <row r="8" spans="1:3" x14ac:dyDescent="0.25">
      <c r="A8" s="72" t="s">
        <v>176</v>
      </c>
      <c r="B8" s="66" t="s">
        <v>86</v>
      </c>
      <c r="C8" s="66" t="s">
        <v>157</v>
      </c>
    </row>
    <row r="9" spans="1:3" x14ac:dyDescent="0.25">
      <c r="A9" s="66" t="s">
        <v>179</v>
      </c>
      <c r="B9" s="71" t="s">
        <v>47</v>
      </c>
      <c r="C9" s="66" t="s">
        <v>93</v>
      </c>
    </row>
    <row r="10" spans="1:3" x14ac:dyDescent="0.25">
      <c r="A10" s="72" t="s">
        <v>178</v>
      </c>
      <c r="B10" s="66" t="s">
        <v>50</v>
      </c>
      <c r="C10" s="66" t="s">
        <v>58</v>
      </c>
    </row>
    <row r="11" spans="1:3" x14ac:dyDescent="0.25">
      <c r="A11" s="66" t="s">
        <v>174</v>
      </c>
      <c r="B11" s="66" t="s">
        <v>91</v>
      </c>
      <c r="C11" s="66"/>
    </row>
    <row r="12" spans="1:3" x14ac:dyDescent="0.25">
      <c r="A12" s="72" t="s">
        <v>175</v>
      </c>
      <c r="B12" s="66" t="s">
        <v>54</v>
      </c>
      <c r="C12" s="66"/>
    </row>
    <row r="13" spans="1:3" x14ac:dyDescent="0.25">
      <c r="A13" s="66" t="s">
        <v>76</v>
      </c>
      <c r="B13" s="66" t="s">
        <v>93</v>
      </c>
      <c r="C13" s="66"/>
    </row>
    <row r="14" spans="1:3" x14ac:dyDescent="0.25">
      <c r="A14" s="72" t="s">
        <v>106</v>
      </c>
      <c r="B14" s="66" t="s">
        <v>58</v>
      </c>
      <c r="C14" s="66"/>
    </row>
    <row r="15" spans="1:3" x14ac:dyDescent="0.25">
      <c r="A15" s="66" t="s">
        <v>101</v>
      </c>
      <c r="B15" s="66" t="s">
        <v>61</v>
      </c>
      <c r="C15" s="66"/>
    </row>
    <row r="16" spans="1:3" x14ac:dyDescent="0.25">
      <c r="A16" s="66" t="s">
        <v>80</v>
      </c>
      <c r="B16" s="66" t="s">
        <v>65</v>
      </c>
      <c r="C16" s="66"/>
    </row>
    <row r="17" spans="1:3" x14ac:dyDescent="0.25">
      <c r="A17" s="72" t="s">
        <v>173</v>
      </c>
      <c r="B17" s="66" t="s">
        <v>69</v>
      </c>
      <c r="C17" s="66"/>
    </row>
    <row r="18" spans="1:3" x14ac:dyDescent="0.25">
      <c r="A18" s="66"/>
      <c r="B18" s="71" t="s">
        <v>73</v>
      </c>
      <c r="C18" s="66"/>
    </row>
    <row r="19" spans="1:3" x14ac:dyDescent="0.25">
      <c r="A19" s="66"/>
      <c r="B19" s="66" t="s">
        <v>76</v>
      </c>
      <c r="C19" s="66"/>
    </row>
    <row r="20" spans="1:3" x14ac:dyDescent="0.25">
      <c r="A20" s="66"/>
      <c r="B20" s="71" t="s">
        <v>83</v>
      </c>
      <c r="C20" s="66"/>
    </row>
    <row r="21" spans="1:3" x14ac:dyDescent="0.25">
      <c r="A21" s="66"/>
      <c r="B21" s="66" t="s">
        <v>101</v>
      </c>
      <c r="C21" s="66"/>
    </row>
    <row r="22" spans="1:3" x14ac:dyDescent="0.25">
      <c r="A22" s="66"/>
      <c r="B22" s="66" t="s">
        <v>80</v>
      </c>
      <c r="C22" s="66"/>
    </row>
    <row r="23" spans="1:3" x14ac:dyDescent="0.25">
      <c r="A23" s="66"/>
      <c r="B23" s="71" t="s">
        <v>89</v>
      </c>
      <c r="C23" s="66"/>
    </row>
  </sheetData>
  <sortState xmlns:xlrd2="http://schemas.microsoft.com/office/spreadsheetml/2017/richdata2" ref="C2:C26">
    <sortCondition ref="C2:C26"/>
  </sortState>
  <conditionalFormatting sqref="A4">
    <cfRule type="duplicateValues" dxfId="8" priority="7"/>
  </conditionalFormatting>
  <conditionalFormatting sqref="A6">
    <cfRule type="duplicateValues" dxfId="7" priority="4"/>
  </conditionalFormatting>
  <conditionalFormatting sqref="A13">
    <cfRule type="duplicateValues" dxfId="6" priority="3"/>
  </conditionalFormatting>
  <conditionalFormatting sqref="A15">
    <cfRule type="duplicateValues" dxfId="5" priority="2"/>
  </conditionalFormatting>
  <conditionalFormatting sqref="A16">
    <cfRule type="duplicateValues" dxfId="4" priority="1"/>
  </conditionalFormatting>
  <conditionalFormatting sqref="A1:B1048576">
    <cfRule type="duplicateValues" dxfId="3" priority="9"/>
  </conditionalFormatting>
  <conditionalFormatting sqref="B1:C1048576">
    <cfRule type="duplicateValues" dxfId="2" priority="8"/>
  </conditionalFormatting>
  <conditionalFormatting sqref="C6">
    <cfRule type="duplicateValues" dxfId="1" priority="6"/>
  </conditionalFormatting>
  <conditionalFormatting sqref="C10">
    <cfRule type="duplicateValues" dxfId="0" priority="5"/>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72E4-2FAF-4E30-A30A-34EC8A392E5A}">
  <dimension ref="A2:G27"/>
  <sheetViews>
    <sheetView topLeftCell="A6" workbookViewId="0">
      <selection activeCell="A3" sqref="A3:G28"/>
    </sheetView>
  </sheetViews>
  <sheetFormatPr defaultRowHeight="15" x14ac:dyDescent="0.25"/>
  <cols>
    <col min="2" max="2" width="15.28515625" customWidth="1"/>
    <col min="3" max="3" width="12.85546875" customWidth="1"/>
    <col min="4" max="4" width="20.7109375" customWidth="1"/>
    <col min="5" max="5" width="15.5703125" customWidth="1"/>
    <col min="6" max="6" width="10.85546875" customWidth="1"/>
  </cols>
  <sheetData>
    <row r="2" spans="1:7" x14ac:dyDescent="0.25">
      <c r="A2" s="60" t="s">
        <v>171</v>
      </c>
      <c r="B2" s="60"/>
      <c r="C2" s="60" t="s">
        <v>163</v>
      </c>
      <c r="D2" s="60" t="s">
        <v>165</v>
      </c>
      <c r="E2" s="60" t="s">
        <v>166</v>
      </c>
      <c r="F2" s="60" t="s">
        <v>164</v>
      </c>
      <c r="G2" s="60" t="s">
        <v>167</v>
      </c>
    </row>
    <row r="3" spans="1:7" ht="31.5" x14ac:dyDescent="0.25">
      <c r="A3" s="60">
        <v>1</v>
      </c>
      <c r="B3" s="80" t="s">
        <v>155</v>
      </c>
      <c r="C3" s="60">
        <v>0</v>
      </c>
      <c r="D3" s="60">
        <v>2</v>
      </c>
      <c r="E3" s="60">
        <v>45</v>
      </c>
      <c r="F3" s="60">
        <v>62</v>
      </c>
      <c r="G3" s="60">
        <f>SUM(C3:F3)</f>
        <v>109</v>
      </c>
    </row>
    <row r="4" spans="1:7" ht="47.25" x14ac:dyDescent="0.25">
      <c r="A4" s="60">
        <v>2</v>
      </c>
      <c r="B4" s="80" t="s">
        <v>156</v>
      </c>
      <c r="C4" s="60">
        <v>1</v>
      </c>
      <c r="D4" s="60">
        <v>1</v>
      </c>
      <c r="E4" s="60">
        <v>9</v>
      </c>
      <c r="F4" s="60">
        <v>41</v>
      </c>
      <c r="G4" s="60">
        <f t="shared" ref="G4:G17" si="0">SUM(C4:F4)</f>
        <v>52</v>
      </c>
    </row>
    <row r="5" spans="1:7" ht="63" x14ac:dyDescent="0.25">
      <c r="A5" s="60">
        <v>3</v>
      </c>
      <c r="B5" s="80" t="s">
        <v>157</v>
      </c>
      <c r="C5" s="60">
        <v>1</v>
      </c>
      <c r="D5" s="60">
        <v>0</v>
      </c>
      <c r="E5" s="60">
        <v>5</v>
      </c>
      <c r="F5" s="60">
        <v>6</v>
      </c>
      <c r="G5" s="60">
        <f t="shared" si="0"/>
        <v>12</v>
      </c>
    </row>
    <row r="6" spans="1:7" ht="47.25" x14ac:dyDescent="0.25">
      <c r="A6" s="60">
        <v>4</v>
      </c>
      <c r="B6" s="80" t="s">
        <v>158</v>
      </c>
      <c r="C6" s="60">
        <v>0</v>
      </c>
      <c r="D6" s="60">
        <v>2</v>
      </c>
      <c r="E6" s="60">
        <v>4</v>
      </c>
      <c r="F6" s="60">
        <v>17</v>
      </c>
      <c r="G6" s="60">
        <f t="shared" si="0"/>
        <v>23</v>
      </c>
    </row>
    <row r="7" spans="1:7" ht="47.25" x14ac:dyDescent="0.25">
      <c r="A7" s="60">
        <v>5</v>
      </c>
      <c r="B7" s="80" t="s">
        <v>159</v>
      </c>
      <c r="C7" s="60">
        <v>0</v>
      </c>
      <c r="D7" s="60">
        <v>1</v>
      </c>
      <c r="E7" s="60">
        <v>8</v>
      </c>
      <c r="F7" s="60">
        <v>10</v>
      </c>
      <c r="G7" s="60">
        <f t="shared" si="0"/>
        <v>19</v>
      </c>
    </row>
    <row r="8" spans="1:7" ht="15.75" x14ac:dyDescent="0.25">
      <c r="A8" s="60">
        <v>6</v>
      </c>
      <c r="B8" s="80" t="s">
        <v>93</v>
      </c>
      <c r="C8" s="60">
        <v>3</v>
      </c>
      <c r="D8" s="60">
        <v>1</v>
      </c>
      <c r="E8" s="60">
        <v>40</v>
      </c>
      <c r="F8" s="60">
        <v>68</v>
      </c>
      <c r="G8" s="60">
        <f t="shared" si="0"/>
        <v>112</v>
      </c>
    </row>
    <row r="9" spans="1:7" ht="15.75" x14ac:dyDescent="0.25">
      <c r="A9" s="60">
        <v>7</v>
      </c>
      <c r="B9" s="80" t="s">
        <v>161</v>
      </c>
      <c r="C9" s="60">
        <v>0</v>
      </c>
      <c r="D9" s="60">
        <v>2</v>
      </c>
      <c r="E9" s="60">
        <v>2</v>
      </c>
      <c r="F9" s="60">
        <v>4</v>
      </c>
      <c r="G9" s="60">
        <f t="shared" si="0"/>
        <v>8</v>
      </c>
    </row>
    <row r="10" spans="1:7" ht="15.75" x14ac:dyDescent="0.25">
      <c r="A10" s="60">
        <v>8</v>
      </c>
      <c r="B10" s="80" t="s">
        <v>185</v>
      </c>
      <c r="C10" s="60">
        <v>0</v>
      </c>
      <c r="D10" s="60">
        <v>2</v>
      </c>
      <c r="E10" s="60">
        <v>4</v>
      </c>
      <c r="F10" s="60">
        <v>11</v>
      </c>
      <c r="G10" s="60">
        <f t="shared" si="0"/>
        <v>17</v>
      </c>
    </row>
    <row r="11" spans="1:7" ht="15.75" x14ac:dyDescent="0.25">
      <c r="A11" s="60">
        <v>9</v>
      </c>
      <c r="B11" s="80" t="s">
        <v>186</v>
      </c>
      <c r="C11" s="60">
        <v>0</v>
      </c>
      <c r="D11" s="60">
        <v>2</v>
      </c>
      <c r="E11" s="60">
        <v>0</v>
      </c>
      <c r="F11" s="60">
        <v>0</v>
      </c>
      <c r="G11" s="60">
        <f t="shared" si="0"/>
        <v>2</v>
      </c>
    </row>
    <row r="12" spans="1:7" ht="15.75" x14ac:dyDescent="0.25">
      <c r="A12" s="60">
        <v>10</v>
      </c>
      <c r="B12" s="80" t="s">
        <v>187</v>
      </c>
      <c r="C12" s="60">
        <v>0</v>
      </c>
      <c r="D12" s="60">
        <v>9</v>
      </c>
      <c r="E12" s="60">
        <v>21</v>
      </c>
      <c r="F12" s="60">
        <v>20</v>
      </c>
      <c r="G12" s="60">
        <f t="shared" si="0"/>
        <v>50</v>
      </c>
    </row>
    <row r="13" spans="1:7" ht="31.5" x14ac:dyDescent="0.25">
      <c r="A13" s="60">
        <v>11</v>
      </c>
      <c r="B13" s="80" t="s">
        <v>189</v>
      </c>
      <c r="C13" s="60">
        <v>1</v>
      </c>
      <c r="D13" s="60">
        <v>0</v>
      </c>
      <c r="E13" s="60">
        <v>11</v>
      </c>
      <c r="F13" s="60">
        <v>29</v>
      </c>
      <c r="G13" s="60">
        <f t="shared" si="0"/>
        <v>41</v>
      </c>
    </row>
    <row r="14" spans="1:7" ht="15.75" x14ac:dyDescent="0.25">
      <c r="A14" s="60">
        <v>12</v>
      </c>
      <c r="B14" s="80" t="s">
        <v>147</v>
      </c>
      <c r="C14" s="60">
        <v>0</v>
      </c>
      <c r="D14" s="60">
        <v>0</v>
      </c>
      <c r="E14" s="60">
        <v>0</v>
      </c>
      <c r="F14" s="60">
        <v>2</v>
      </c>
      <c r="G14" s="60">
        <f t="shared" si="0"/>
        <v>2</v>
      </c>
    </row>
    <row r="15" spans="1:7" ht="15.75" x14ac:dyDescent="0.25">
      <c r="A15" s="60">
        <v>13</v>
      </c>
      <c r="B15" s="80" t="s">
        <v>162</v>
      </c>
      <c r="C15" s="60">
        <v>0</v>
      </c>
      <c r="D15" s="60">
        <v>2</v>
      </c>
      <c r="E15" s="60">
        <v>5</v>
      </c>
      <c r="F15" s="60">
        <v>17</v>
      </c>
      <c r="G15" s="60">
        <f t="shared" si="0"/>
        <v>24</v>
      </c>
    </row>
    <row r="16" spans="1:7" ht="15.75" x14ac:dyDescent="0.25">
      <c r="A16" s="60">
        <v>14</v>
      </c>
      <c r="B16" s="80" t="s">
        <v>144</v>
      </c>
      <c r="C16" s="89">
        <v>0</v>
      </c>
      <c r="D16" s="89">
        <v>3</v>
      </c>
      <c r="E16" s="89">
        <v>1</v>
      </c>
      <c r="F16" s="89">
        <v>8</v>
      </c>
      <c r="G16" s="60">
        <f t="shared" si="0"/>
        <v>12</v>
      </c>
    </row>
    <row r="17" spans="1:7" ht="15.75" x14ac:dyDescent="0.25">
      <c r="A17" s="60">
        <v>15</v>
      </c>
      <c r="B17" s="80" t="s">
        <v>153</v>
      </c>
      <c r="C17" s="89">
        <v>0</v>
      </c>
      <c r="D17" s="89">
        <v>2</v>
      </c>
      <c r="E17" s="89">
        <v>7</v>
      </c>
      <c r="F17" s="89">
        <v>9</v>
      </c>
      <c r="G17" s="60">
        <f t="shared" si="0"/>
        <v>18</v>
      </c>
    </row>
    <row r="18" spans="1:7" ht="30" x14ac:dyDescent="0.25">
      <c r="A18" s="60">
        <v>16</v>
      </c>
      <c r="B18" s="85" t="s">
        <v>27</v>
      </c>
      <c r="C18" s="82">
        <v>0</v>
      </c>
      <c r="D18" s="82">
        <v>4</v>
      </c>
      <c r="E18" s="82">
        <v>6</v>
      </c>
      <c r="F18" s="82">
        <v>16</v>
      </c>
      <c r="G18" s="82">
        <v>26</v>
      </c>
    </row>
    <row r="19" spans="1:7" x14ac:dyDescent="0.25">
      <c r="A19" s="60">
        <v>17</v>
      </c>
      <c r="B19" s="85" t="s">
        <v>31</v>
      </c>
      <c r="C19" s="82">
        <v>0</v>
      </c>
      <c r="D19" s="82">
        <v>1</v>
      </c>
      <c r="E19" s="82">
        <v>22</v>
      </c>
      <c r="F19" s="82">
        <v>38</v>
      </c>
      <c r="G19" s="82">
        <v>61</v>
      </c>
    </row>
    <row r="20" spans="1:7" ht="30" x14ac:dyDescent="0.25">
      <c r="A20" s="60">
        <v>18</v>
      </c>
      <c r="B20" s="85" t="s">
        <v>61</v>
      </c>
      <c r="C20" s="82">
        <v>1</v>
      </c>
      <c r="D20" s="82">
        <v>1</v>
      </c>
      <c r="E20" s="82">
        <v>4</v>
      </c>
      <c r="F20" s="82">
        <v>17</v>
      </c>
      <c r="G20" s="82">
        <v>23</v>
      </c>
    </row>
    <row r="21" spans="1:7" ht="30" x14ac:dyDescent="0.25">
      <c r="A21" s="60">
        <v>19</v>
      </c>
      <c r="B21" s="85" t="s">
        <v>65</v>
      </c>
      <c r="C21" s="82">
        <v>0</v>
      </c>
      <c r="D21" s="82">
        <v>6</v>
      </c>
      <c r="E21" s="82">
        <v>40</v>
      </c>
      <c r="F21" s="82">
        <v>52</v>
      </c>
      <c r="G21" s="82">
        <v>98</v>
      </c>
    </row>
    <row r="22" spans="1:7" ht="30" x14ac:dyDescent="0.25">
      <c r="A22" s="60">
        <v>20</v>
      </c>
      <c r="B22" s="85" t="s">
        <v>69</v>
      </c>
      <c r="C22" s="82">
        <v>1</v>
      </c>
      <c r="D22" s="82">
        <v>0</v>
      </c>
      <c r="E22" s="82">
        <v>0</v>
      </c>
      <c r="F22" s="82">
        <v>6</v>
      </c>
      <c r="G22" s="82">
        <v>7</v>
      </c>
    </row>
    <row r="23" spans="1:7" ht="30" x14ac:dyDescent="0.25">
      <c r="A23" s="60">
        <v>21</v>
      </c>
      <c r="B23" s="85" t="s">
        <v>76</v>
      </c>
      <c r="C23" s="82">
        <v>0</v>
      </c>
      <c r="D23" s="82">
        <v>5</v>
      </c>
      <c r="E23" s="82">
        <v>10</v>
      </c>
      <c r="F23" s="82">
        <v>16</v>
      </c>
      <c r="G23" s="82">
        <v>31</v>
      </c>
    </row>
    <row r="24" spans="1:7" ht="30" x14ac:dyDescent="0.25">
      <c r="A24" s="60">
        <v>22</v>
      </c>
      <c r="B24" s="85" t="s">
        <v>80</v>
      </c>
      <c r="C24" s="82">
        <v>0</v>
      </c>
      <c r="D24" s="82">
        <v>1</v>
      </c>
      <c r="E24" s="82">
        <v>7</v>
      </c>
      <c r="F24" s="82">
        <v>22</v>
      </c>
      <c r="G24" s="82">
        <v>30</v>
      </c>
    </row>
    <row r="25" spans="1:7" x14ac:dyDescent="0.25">
      <c r="A25" s="60">
        <v>23</v>
      </c>
      <c r="B25" s="85" t="s">
        <v>86</v>
      </c>
      <c r="C25" s="82">
        <v>0</v>
      </c>
      <c r="D25" s="82">
        <v>1</v>
      </c>
      <c r="E25" s="82">
        <v>9</v>
      </c>
      <c r="F25" s="82">
        <v>22</v>
      </c>
      <c r="G25" s="82">
        <v>32</v>
      </c>
    </row>
    <row r="26" spans="1:7" x14ac:dyDescent="0.25">
      <c r="A26" s="60">
        <v>24</v>
      </c>
      <c r="B26" s="85" t="s">
        <v>89</v>
      </c>
      <c r="C26" s="82">
        <v>1</v>
      </c>
      <c r="D26" s="82">
        <v>5</v>
      </c>
      <c r="E26" s="82">
        <v>44</v>
      </c>
      <c r="F26" s="82">
        <v>67</v>
      </c>
      <c r="G26" s="82">
        <f>SUM(C26:F26)</f>
        <v>117</v>
      </c>
    </row>
    <row r="27" spans="1:7" x14ac:dyDescent="0.25">
      <c r="A27" s="60">
        <v>25</v>
      </c>
      <c r="B27" s="85" t="s">
        <v>101</v>
      </c>
      <c r="C27" s="82">
        <v>1</v>
      </c>
      <c r="D27" s="82">
        <v>0</v>
      </c>
      <c r="E27" s="82">
        <v>21</v>
      </c>
      <c r="F27" s="82">
        <v>51</v>
      </c>
      <c r="G27" s="82">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Final</vt:lpstr>
      <vt:lpstr>Mess Details</vt:lpstr>
      <vt:lpstr>TGPA Mess</vt:lpstr>
      <vt:lpstr>Travel Details</vt:lpstr>
      <vt:lpstr>Sheet5</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INSP-Technical</dc:creator>
  <cp:lastModifiedBy>INSP-Technical</cp:lastModifiedBy>
  <cp:lastPrinted>2026-07-17T11:25:37Z</cp:lastPrinted>
  <dcterms:created xsi:type="dcterms:W3CDTF">2015-06-05T18:17:20Z</dcterms:created>
  <dcterms:modified xsi:type="dcterms:W3CDTF">2026-07-17T12:01:24Z</dcterms:modified>
</cp:coreProperties>
</file>